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 1- UASA ENGLISH YEAR 4 2024" sheetId="1" r:id="rId4"/>
    <sheet state="visible" name="SET 2- UASA ENGLISH YEAR 4 2024" sheetId="2" r:id="rId5"/>
    <sheet state="visible" name=" " sheetId="3" r:id="rId6"/>
  </sheets>
  <definedNames/>
  <calcPr/>
  <extLst>
    <ext uri="GoogleSheetsCustomDataVersion2">
      <go:sheetsCustomData xmlns:go="http://customooxmlschemas.google.com/" r:id="rId7" roundtripDataChecksum="GFXWvDDgMbSJPu9Jg7mEsBEV4PEb9XJz2ZZppWMTH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34">
      <text>
        <t xml:space="preserve">======
ID#AAABW2ZbKPc
NOOR    (2024-10-08 03:18:59)
NOOR:</t>
      </text>
    </comment>
  </commentList>
  <extLst>
    <ext uri="GoogleSheetsCustomDataVersion2">
      <go:sheetsCustomData xmlns:go="http://customooxmlschemas.google.com/" r:id="rId1" roundtripDataSignature="AMtx7mhl47Q1QmvtOaoV3uMR2nbzATFGpA=="/>
    </ext>
  </extLst>
</comments>
</file>

<file path=xl/sharedStrings.xml><?xml version="1.0" encoding="utf-8"?>
<sst xmlns="http://schemas.openxmlformats.org/spreadsheetml/2006/main" count="657" uniqueCount="99">
  <si>
    <t>TOS (JSU)</t>
  </si>
  <si>
    <t>ENGLISH [SET 1]</t>
  </si>
  <si>
    <t>UASA YEAR 4 2024 /2025</t>
  </si>
  <si>
    <t>MODULE 1 - 10</t>
  </si>
  <si>
    <t xml:space="preserve">REMEMBERING </t>
  </si>
  <si>
    <t xml:space="preserve">UNDERSTANDING </t>
  </si>
  <si>
    <t xml:space="preserve">APPLYING </t>
  </si>
  <si>
    <t>ANALYSISNG</t>
  </si>
  <si>
    <t xml:space="preserve">EVALUATING </t>
  </si>
  <si>
    <t xml:space="preserve">CREATING </t>
  </si>
  <si>
    <t>TOTAL NUMBER OF QUESTIONS</t>
  </si>
  <si>
    <t xml:space="preserve">PART 1 ( 5 marks) </t>
  </si>
  <si>
    <t>Theme</t>
  </si>
  <si>
    <t>Context</t>
  </si>
  <si>
    <t>CS</t>
  </si>
  <si>
    <t>LS</t>
  </si>
  <si>
    <t>A1 MID</t>
  </si>
  <si>
    <t>AI HIGH</t>
  </si>
  <si>
    <t>A2 LOW</t>
  </si>
  <si>
    <t>Short text</t>
  </si>
  <si>
    <t>WoSFF</t>
  </si>
  <si>
    <t xml:space="preserve">Email </t>
  </si>
  <si>
    <t xml:space="preserve">3.2.2 Understand specific information and details of simple texts of one or two paragraphs </t>
  </si>
  <si>
    <t>WoK</t>
  </si>
  <si>
    <t>Description</t>
  </si>
  <si>
    <t>Dialogue</t>
  </si>
  <si>
    <t>3.2.2 Understand specific information and details of two paragraphs or more</t>
  </si>
  <si>
    <t>Chart</t>
  </si>
  <si>
    <t>3.2.1 Understand the main idea of simple exts of two paragraphs or more</t>
  </si>
  <si>
    <t>Label / Sign</t>
  </si>
  <si>
    <t>TOTAL</t>
  </si>
  <si>
    <t>ANALYSING</t>
  </si>
  <si>
    <t xml:space="preserve">PART 2 ( 4 marks) </t>
  </si>
  <si>
    <t>Lexico-Grammar [MCQ]</t>
  </si>
  <si>
    <t>Past Simple [Affirmative]</t>
  </si>
  <si>
    <t xml:space="preserve">3.2.3 Guess the meaning of unfamiliar words from clues provided by title, topic and other known words </t>
  </si>
  <si>
    <t>Quantifiers: Use of any [Negative]</t>
  </si>
  <si>
    <t>Past Simple [Affirmative- regular verb]</t>
  </si>
  <si>
    <r>
      <rPr>
        <rFont val="Times New Roman"/>
        <color theme="1"/>
        <sz val="20.0"/>
      </rPr>
      <t xml:space="preserve">Modal Verb:  </t>
    </r>
    <r>
      <rPr>
        <rFont val="Times New Roman"/>
        <i/>
        <color theme="1"/>
        <sz val="20.0"/>
      </rPr>
      <t>Should</t>
    </r>
  </si>
  <si>
    <t xml:space="preserve">PART 3 ( 5 marks) </t>
  </si>
  <si>
    <t>Linear Text Comprehension (MCQ)</t>
  </si>
  <si>
    <t>Linear</t>
  </si>
  <si>
    <t>3.2.2 Understand specific information and details of simple or longer texts</t>
  </si>
  <si>
    <t>3.2.1 Understand the main idea of simple or longer texts</t>
  </si>
  <si>
    <t xml:space="preserve">PART 4 ( 6marks) </t>
  </si>
  <si>
    <t>Multiple Text Matching</t>
  </si>
  <si>
    <t xml:space="preserve">PART 5 ( 5 marks) </t>
  </si>
  <si>
    <t>A1 HIGH</t>
  </si>
  <si>
    <t>A2 MID</t>
  </si>
  <si>
    <t>Word Completion</t>
  </si>
  <si>
    <t>NIL</t>
  </si>
  <si>
    <t>4.3.2  Spell most high frequency words accurately in guided writing</t>
  </si>
  <si>
    <t>CEFR LEVELS</t>
  </si>
  <si>
    <t xml:space="preserve">ITEMS ACCORDING TO BLOOM'S TAXONOMY </t>
  </si>
  <si>
    <t>LOTS</t>
  </si>
  <si>
    <t>HOTs</t>
  </si>
  <si>
    <t>NO. OF ITEMS</t>
  </si>
  <si>
    <t>REMEMBERING</t>
  </si>
  <si>
    <t>UNDERSTANDING</t>
  </si>
  <si>
    <t>APPLYING</t>
  </si>
  <si>
    <t>EVALUATING</t>
  </si>
  <si>
    <t>CREATING</t>
  </si>
  <si>
    <t>10 questions</t>
  </si>
  <si>
    <t>9 questions</t>
  </si>
  <si>
    <t>6 questions</t>
  </si>
  <si>
    <t>2  questions</t>
  </si>
  <si>
    <t>0 marks</t>
  </si>
  <si>
    <t>10 marks</t>
  </si>
  <si>
    <t>15 marks</t>
  </si>
  <si>
    <t>6 marks</t>
  </si>
  <si>
    <t>25 marks</t>
  </si>
  <si>
    <t>TOTAL MARKS</t>
  </si>
  <si>
    <t>50 MARKS</t>
  </si>
  <si>
    <t>LOTs : HOTs %</t>
  </si>
  <si>
    <t xml:space="preserve">PART 6 ( 10 marks) </t>
  </si>
  <si>
    <t xml:space="preserve">Context </t>
  </si>
  <si>
    <t>Guided Writing       
  [Short Communicative Message]</t>
  </si>
  <si>
    <t xml:space="preserve">
4.2.1  Explain and give reasons for simple opinions, offers and invitations</t>
  </si>
  <si>
    <t>4.2.2  Make and respond to simple offers and invitations</t>
  </si>
  <si>
    <t xml:space="preserve">4.2.5  Connect sentences into a coherent paragraph using basic coordinating conjunctions and reference pronouns   </t>
  </si>
  <si>
    <t xml:space="preserve">4.3.1  Use capital letters, full stops, question marks and commas in lists appropriately in guided writing at discourse level </t>
  </si>
  <si>
    <t xml:space="preserve">PART 7 ( 15 marks) </t>
  </si>
  <si>
    <t>Note Expansion        
  [Longer Communicative Message]</t>
  </si>
  <si>
    <t xml:space="preserve">4.2.1  Explain and give reasons for simple opinions, offers and invitation
</t>
  </si>
  <si>
    <t>4.2.5  Connect sentences into one or two coherent paragraphs using basic coordinating conjunctions and reference pronouns</t>
  </si>
  <si>
    <t>4.3.1  Use capital letters, full stops, commas in lists and question marks appropriately in independent writing at discourse level</t>
  </si>
  <si>
    <t>4.3.2  Spell a range of high frequency words accurately in independent writing</t>
  </si>
  <si>
    <t>ENGLISH [SET 2]</t>
  </si>
  <si>
    <t>WoS</t>
  </si>
  <si>
    <t>Poem</t>
  </si>
  <si>
    <t>List</t>
  </si>
  <si>
    <t>Diary Entry</t>
  </si>
  <si>
    <t>Have to: [Affirmative]</t>
  </si>
  <si>
    <t>Adverb of Frequency</t>
  </si>
  <si>
    <t>Comparative Adjective</t>
  </si>
  <si>
    <t>Tense</t>
  </si>
  <si>
    <t>2 questions</t>
  </si>
  <si>
    <t>9 marks</t>
  </si>
  <si>
    <t>LOTs:  HOTs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</si>
</sst>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Times New Roman"/>
    </font>
    <font/>
    <font>
      <sz val="20.0"/>
      <color theme="1"/>
      <name val="Times New Roman"/>
    </font>
    <font>
      <b/>
      <sz val="20.0"/>
      <color theme="1"/>
      <name val="Times New Roman"/>
    </font>
    <font>
      <b/>
      <sz val="18.0"/>
      <color theme="1"/>
      <name val="Times New Roman"/>
    </font>
    <font>
      <sz val="16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9FF33"/>
        <bgColor rgb="FF99FF33"/>
      </patternFill>
    </fill>
    <fill>
      <patternFill patternType="solid">
        <fgColor rgb="FF00FF00"/>
        <bgColor rgb="FF00FF00"/>
      </patternFill>
    </fill>
    <fill>
      <patternFill patternType="solid">
        <fgColor rgb="FF33CCCC"/>
        <bgColor rgb="FF33CCCC"/>
      </patternFill>
    </fill>
    <fill>
      <patternFill patternType="solid">
        <fgColor rgb="FFCCCC00"/>
        <bgColor rgb="FFCCCC00"/>
      </patternFill>
    </fill>
    <fill>
      <patternFill patternType="solid">
        <fgColor rgb="FFCC9900"/>
        <bgColor rgb="FFCC9900"/>
      </patternFill>
    </fill>
    <fill>
      <patternFill patternType="solid">
        <fgColor rgb="FFCCCCFF"/>
        <bgColor rgb="FFCCCCFF"/>
      </patternFill>
    </fill>
    <fill>
      <patternFill patternType="solid">
        <fgColor rgb="FFFF99FF"/>
        <bgColor rgb="FFFF99FF"/>
      </patternFill>
    </fill>
    <fill>
      <patternFill patternType="solid">
        <fgColor rgb="FFCCFF99"/>
        <bgColor rgb="FFCCFF99"/>
      </patternFill>
    </fill>
  </fills>
  <borders count="41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2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0" fillId="0" fontId="4" numFmtId="0" xfId="0" applyAlignment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3" numFmtId="0" xfId="0" applyBorder="1" applyFont="1"/>
    <xf borderId="12" fillId="0" fontId="3" numFmtId="0" xfId="0" applyBorder="1" applyFont="1"/>
    <xf borderId="10" fillId="0" fontId="5" numFmtId="0" xfId="0" applyAlignment="1" applyBorder="1" applyFont="1">
      <alignment horizontal="center" vertical="center"/>
    </xf>
    <xf borderId="13" fillId="3" fontId="5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center" vertical="center"/>
    </xf>
    <xf borderId="18" fillId="4" fontId="5" numFmtId="0" xfId="0" applyAlignment="1" applyBorder="1" applyFill="1" applyFont="1">
      <alignment horizontal="left" vertical="center"/>
    </xf>
    <xf borderId="18" fillId="5" fontId="5" numFmtId="0" xfId="0" applyAlignment="1" applyBorder="1" applyFill="1" applyFont="1">
      <alignment horizontal="left" shrinkToFit="0" vertical="center" wrapText="1"/>
    </xf>
    <xf borderId="18" fillId="6" fontId="5" numFmtId="0" xfId="0" applyAlignment="1" applyBorder="1" applyFill="1" applyFont="1">
      <alignment horizontal="left" vertical="center"/>
    </xf>
    <xf borderId="19" fillId="0" fontId="3" numFmtId="0" xfId="0" applyBorder="1" applyFont="1"/>
    <xf borderId="18" fillId="7" fontId="4" numFmtId="0" xfId="0" applyAlignment="1" applyBorder="1" applyFill="1" applyFont="1">
      <alignment horizontal="left" vertical="center"/>
    </xf>
    <xf borderId="18" fillId="8" fontId="4" numFmtId="0" xfId="0" applyAlignment="1" applyBorder="1" applyFill="1" applyFont="1">
      <alignment horizontal="center" vertical="center"/>
    </xf>
    <xf borderId="18" fillId="9" fontId="4" numFmtId="0" xfId="0" applyAlignment="1" applyBorder="1" applyFill="1" applyFont="1">
      <alignment horizontal="center" vertical="center"/>
    </xf>
    <xf borderId="18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vertical="center"/>
    </xf>
    <xf borderId="18" fillId="10" fontId="4" numFmtId="0" xfId="0" applyAlignment="1" applyBorder="1" applyFill="1" applyFon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8" fillId="4" fontId="4" numFmtId="0" xfId="0" applyAlignment="1" applyBorder="1" applyFont="1">
      <alignment horizontal="center" shrinkToFit="0" vertical="center" wrapText="1"/>
    </xf>
    <xf borderId="18" fillId="5" fontId="4" numFmtId="0" xfId="0" applyAlignment="1" applyBorder="1" applyFont="1">
      <alignment horizontal="center" shrinkToFit="0" vertical="center" wrapText="1"/>
    </xf>
    <xf borderId="18" fillId="6" fontId="4" numFmtId="0" xfId="0" applyAlignment="1" applyBorder="1" applyFont="1">
      <alignment horizontal="center" shrinkToFit="0" vertical="center" wrapText="1"/>
    </xf>
    <xf borderId="18" fillId="3" fontId="4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7" fontId="4" numFmtId="0" xfId="0" applyAlignment="1" applyBorder="1" applyFont="1">
      <alignment horizontal="left" vertical="center"/>
    </xf>
    <xf borderId="22" fillId="8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left" vertical="center"/>
    </xf>
    <xf borderId="23" fillId="0" fontId="5" numFmtId="0" xfId="0" applyAlignment="1" applyBorder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  <xf borderId="1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8" fillId="8" fontId="4" numFmtId="0" xfId="0" applyAlignment="1" applyBorder="1" applyFont="1">
      <alignment horizontal="center" shrinkToFit="0" vertical="center" wrapText="1"/>
    </xf>
    <xf borderId="13" fillId="9" fontId="4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26" fillId="4" fontId="5" numFmtId="0" xfId="0" applyAlignment="1" applyBorder="1" applyFont="1">
      <alignment horizontal="left" vertical="center"/>
    </xf>
    <xf borderId="26" fillId="5" fontId="5" numFmtId="0" xfId="0" applyAlignment="1" applyBorder="1" applyFont="1">
      <alignment horizontal="left" shrinkToFit="0" vertical="center" wrapText="1"/>
    </xf>
    <xf borderId="26" fillId="6" fontId="5" numFmtId="0" xfId="0" applyAlignment="1" applyBorder="1" applyFont="1">
      <alignment horizontal="left" vertical="center"/>
    </xf>
    <xf borderId="18" fillId="4" fontId="5" numFmtId="0" xfId="0" applyAlignment="1" applyBorder="1" applyFont="1">
      <alignment horizontal="center" vertical="center"/>
    </xf>
    <xf borderId="27" fillId="5" fontId="4" numFmtId="0" xfId="0" applyAlignment="1" applyBorder="1" applyFont="1">
      <alignment horizontal="center" vertical="center"/>
    </xf>
    <xf borderId="18" fillId="6" fontId="5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left" vertical="center"/>
    </xf>
    <xf borderId="23" fillId="0" fontId="5" numFmtId="0" xfId="0" applyAlignment="1" applyBorder="1" applyFont="1">
      <alignment horizontal="center" vertical="center"/>
    </xf>
    <xf borderId="18" fillId="5" fontId="5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left" vertical="center"/>
    </xf>
    <xf borderId="13" fillId="10" fontId="4" numFmtId="0" xfId="0" applyAlignment="1" applyBorder="1" applyFont="1">
      <alignment horizontal="left" shrinkToFit="0" vertical="center" wrapText="1"/>
    </xf>
    <xf borderId="27" fillId="5" fontId="5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left" vertical="center"/>
    </xf>
    <xf borderId="29" fillId="0" fontId="3" numFmtId="0" xfId="0" applyBorder="1" applyFont="1"/>
    <xf borderId="30" fillId="5" fontId="5" numFmtId="0" xfId="0" applyAlignment="1" applyBorder="1" applyFont="1">
      <alignment horizontal="left" shrinkToFit="0" vertical="center" wrapText="1"/>
    </xf>
    <xf borderId="31" fillId="6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32" fillId="0" fontId="5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28" fillId="0" fontId="5" numFmtId="0" xfId="0" applyAlignment="1" applyBorder="1" applyFont="1">
      <alignment horizontal="center" vertical="center"/>
    </xf>
    <xf borderId="35" fillId="0" fontId="3" numFmtId="0" xfId="0" applyBorder="1" applyFont="1"/>
    <xf borderId="0" fillId="0" fontId="5" numFmtId="0" xfId="0" applyAlignment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1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31" fillId="0" fontId="5" numFmtId="9" xfId="0" applyAlignment="1" applyBorder="1" applyFont="1" applyNumberFormat="1">
      <alignment horizontal="center"/>
    </xf>
    <xf borderId="28" fillId="0" fontId="5" numFmtId="0" xfId="0" applyAlignment="1" applyBorder="1" applyFont="1">
      <alignment horizontal="center"/>
    </xf>
    <xf borderId="3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31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center" vertical="center"/>
    </xf>
    <xf borderId="13" fillId="7" fontId="4" numFmtId="0" xfId="0" applyAlignment="1" applyBorder="1" applyFont="1">
      <alignment horizontal="left" vertical="center"/>
    </xf>
    <xf borderId="13" fillId="8" fontId="4" numFmtId="0" xfId="0" applyAlignment="1" applyBorder="1" applyFont="1">
      <alignment horizontal="center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13" fillId="5" fontId="4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vertical="center"/>
    </xf>
    <xf borderId="18" fillId="3" fontId="4" numFmtId="0" xfId="0" applyAlignment="1" applyBorder="1" applyFont="1">
      <alignment vertical="center"/>
    </xf>
    <xf borderId="15" fillId="0" fontId="4" numFmtId="0" xfId="0" applyAlignment="1" applyBorder="1" applyFont="1">
      <alignment horizontal="left" vertical="center"/>
    </xf>
    <xf borderId="18" fillId="1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18" fillId="5" fontId="5" numFmtId="0" xfId="0" applyAlignment="1" applyBorder="1" applyFont="1">
      <alignment horizontal="left" vertical="center"/>
    </xf>
    <xf borderId="18" fillId="7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8" fillId="4" fontId="4" numFmtId="0" xfId="0" applyAlignment="1" applyBorder="1" applyFont="1">
      <alignment horizontal="center" vertical="center"/>
    </xf>
    <xf borderId="18" fillId="5" fontId="4" numFmtId="0" xfId="0" applyAlignment="1" applyBorder="1" applyFont="1">
      <alignment horizontal="center" vertical="center"/>
    </xf>
    <xf borderId="18" fillId="6" fontId="4" numFmtId="0" xfId="0" applyAlignment="1" applyBorder="1" applyFont="1">
      <alignment horizontal="center" vertical="center"/>
    </xf>
    <xf borderId="22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8" fillId="7" fontId="4" numFmtId="1" xfId="0" applyAlignment="1" applyBorder="1" applyFont="1" applyNumberFormat="1">
      <alignment horizontal="center" vertical="center"/>
    </xf>
    <xf borderId="18" fillId="5" fontId="5" numFmtId="0" xfId="0" applyAlignment="1" applyBorder="1" applyFont="1">
      <alignment horizontal="center" vertical="center"/>
    </xf>
    <xf borderId="28" fillId="4" fontId="5" numFmtId="0" xfId="0" applyAlignment="1" applyBorder="1" applyFont="1">
      <alignment horizontal="center" vertical="center"/>
    </xf>
    <xf borderId="31" fillId="5" fontId="5" numFmtId="0" xfId="0" applyAlignment="1" applyBorder="1" applyFont="1">
      <alignment horizontal="center" vertical="center"/>
    </xf>
    <xf borderId="28" fillId="6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shrinkToFit="0" vertical="center" wrapText="1"/>
    </xf>
    <xf borderId="31" fillId="0" fontId="5" numFmtId="0" xfId="0" applyBorder="1" applyFont="1"/>
    <xf borderId="36" fillId="0" fontId="5" numFmtId="0" xfId="0" applyBorder="1" applyFont="1"/>
    <xf borderId="0" fillId="0" fontId="5" numFmtId="0" xfId="0" applyFont="1"/>
    <xf borderId="13" fillId="7" fontId="4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vertical="center"/>
    </xf>
    <xf borderId="13" fillId="5" fontId="4" numFmtId="0" xfId="0" applyAlignment="1" applyBorder="1" applyFont="1">
      <alignment horizontal="center" vertical="center"/>
    </xf>
    <xf borderId="13" fillId="6" fontId="4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8.86"/>
    <col customWidth="1" min="3" max="3" width="33.57"/>
    <col customWidth="1" min="4" max="4" width="19.71"/>
    <col customWidth="1" min="5" max="5" width="25.29"/>
    <col customWidth="1" min="6" max="6" width="13.14"/>
    <col customWidth="1" min="7" max="7" width="42.29"/>
    <col customWidth="1" min="8" max="8" width="14.71"/>
    <col customWidth="1" min="9" max="9" width="17.0"/>
    <col customWidth="1" min="10" max="10" width="16.29"/>
    <col customWidth="1" min="11" max="11" width="14.71"/>
    <col customWidth="1" min="12" max="12" width="17.0"/>
    <col customWidth="1" min="13" max="13" width="16.29"/>
    <col customWidth="1" min="14" max="14" width="14.71"/>
    <col customWidth="1" min="15" max="15" width="17.0"/>
    <col customWidth="1" min="16" max="16" width="16.29"/>
    <col customWidth="1" min="17" max="17" width="14.71"/>
    <col customWidth="1" min="18" max="18" width="17.0"/>
    <col customWidth="1" min="19" max="19" width="16.29"/>
    <col customWidth="1" min="20" max="20" width="14.71"/>
    <col customWidth="1" min="21" max="21" width="17.0"/>
    <col customWidth="1" min="22" max="22" width="16.29"/>
    <col customWidth="1" min="23" max="23" width="14.71"/>
    <col customWidth="1" min="24" max="24" width="17.0"/>
    <col customWidth="1" min="25" max="25" width="16.29"/>
    <col customWidth="1" min="26" max="26" width="8.86"/>
    <col customWidth="1" min="27" max="27" width="28.0"/>
    <col customWidth="1" min="28" max="33" width="8.71"/>
  </cols>
  <sheetData>
    <row r="1" ht="14.25" customHeight="1">
      <c r="D1" s="1"/>
    </row>
    <row r="2" ht="14.25" customHeight="1">
      <c r="D2" s="1"/>
    </row>
    <row r="3" ht="14.25" customHeight="1">
      <c r="D3" s="1"/>
      <c r="P3" s="2" t="s">
        <v>0</v>
      </c>
      <c r="Q3" s="3"/>
      <c r="R3" s="3"/>
      <c r="S3" s="3"/>
      <c r="T3" s="3"/>
      <c r="U3" s="3"/>
      <c r="V3" s="3"/>
      <c r="W3" s="4"/>
    </row>
    <row r="4" ht="14.25" customHeight="1">
      <c r="A4" s="5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7" t="s">
        <v>1</v>
      </c>
      <c r="Q4" s="8"/>
      <c r="R4" s="8"/>
      <c r="S4" s="8"/>
      <c r="T4" s="8"/>
      <c r="U4" s="8"/>
      <c r="V4" s="8"/>
      <c r="W4" s="9"/>
      <c r="X4" s="5"/>
      <c r="Y4" s="5"/>
      <c r="Z4" s="5"/>
      <c r="AA4" s="5"/>
    </row>
    <row r="5" ht="14.25" customHeight="1">
      <c r="A5" s="5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7" t="s">
        <v>2</v>
      </c>
      <c r="Q5" s="8"/>
      <c r="R5" s="8"/>
      <c r="S5" s="8"/>
      <c r="T5" s="8"/>
      <c r="U5" s="8"/>
      <c r="V5" s="8"/>
      <c r="W5" s="9"/>
      <c r="X5" s="5"/>
      <c r="Y5" s="5"/>
      <c r="Z5" s="5"/>
      <c r="AA5" s="5"/>
    </row>
    <row r="6" ht="14.25" customHeight="1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 t="s">
        <v>3</v>
      </c>
      <c r="Q6" s="11"/>
      <c r="R6" s="11"/>
      <c r="S6" s="11"/>
      <c r="T6" s="11"/>
      <c r="U6" s="11"/>
      <c r="V6" s="11"/>
      <c r="W6" s="12"/>
      <c r="X6" s="5"/>
      <c r="Y6" s="5"/>
      <c r="Z6" s="5"/>
      <c r="AA6" s="5"/>
    </row>
    <row r="7" ht="14.25" customHeight="1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13"/>
      <c r="B8" s="14"/>
      <c r="C8" s="15"/>
      <c r="D8" s="15"/>
      <c r="E8" s="15"/>
      <c r="F8" s="15"/>
      <c r="G8" s="16"/>
      <c r="H8" s="17" t="s">
        <v>4</v>
      </c>
      <c r="I8" s="15"/>
      <c r="J8" s="16"/>
      <c r="K8" s="17" t="s">
        <v>5</v>
      </c>
      <c r="L8" s="15"/>
      <c r="M8" s="16"/>
      <c r="N8" s="17" t="s">
        <v>6</v>
      </c>
      <c r="O8" s="15"/>
      <c r="P8" s="16"/>
      <c r="Q8" s="17" t="s">
        <v>7</v>
      </c>
      <c r="R8" s="15"/>
      <c r="S8" s="16"/>
      <c r="T8" s="17" t="s">
        <v>8</v>
      </c>
      <c r="U8" s="15"/>
      <c r="V8" s="16"/>
      <c r="W8" s="17" t="s">
        <v>9</v>
      </c>
      <c r="X8" s="15"/>
      <c r="Y8" s="16"/>
      <c r="Z8" s="13"/>
      <c r="AA8" s="18" t="s">
        <v>10</v>
      </c>
      <c r="AB8" s="19"/>
      <c r="AC8" s="19"/>
      <c r="AD8" s="19"/>
      <c r="AE8" s="19"/>
      <c r="AF8" s="19"/>
      <c r="AG8" s="19"/>
    </row>
    <row r="9" ht="20.25" customHeight="1">
      <c r="A9" s="13"/>
      <c r="B9" s="20"/>
      <c r="C9" s="21"/>
      <c r="D9" s="21"/>
      <c r="E9" s="21"/>
      <c r="F9" s="21"/>
      <c r="G9" s="22"/>
      <c r="H9" s="20"/>
      <c r="I9" s="21"/>
      <c r="J9" s="22"/>
      <c r="K9" s="20"/>
      <c r="L9" s="21"/>
      <c r="M9" s="22"/>
      <c r="N9" s="20"/>
      <c r="O9" s="21"/>
      <c r="P9" s="22"/>
      <c r="Q9" s="20"/>
      <c r="R9" s="21"/>
      <c r="S9" s="22"/>
      <c r="T9" s="20"/>
      <c r="U9" s="21"/>
      <c r="V9" s="22"/>
      <c r="W9" s="20"/>
      <c r="X9" s="21"/>
      <c r="Y9" s="22"/>
      <c r="Z9" s="13"/>
      <c r="AA9" s="23"/>
      <c r="AB9" s="19"/>
      <c r="AC9" s="19"/>
      <c r="AD9" s="19"/>
      <c r="AE9" s="19"/>
      <c r="AF9" s="19"/>
      <c r="AG9" s="19"/>
    </row>
    <row r="10" ht="14.25" customHeight="1">
      <c r="A10" s="13"/>
      <c r="B10" s="24"/>
      <c r="C10" s="25" t="s">
        <v>11</v>
      </c>
      <c r="D10" s="25" t="s">
        <v>12</v>
      </c>
      <c r="E10" s="25" t="s">
        <v>13</v>
      </c>
      <c r="F10" s="25" t="s">
        <v>14</v>
      </c>
      <c r="G10" s="25" t="s">
        <v>15</v>
      </c>
      <c r="H10" s="26" t="s">
        <v>16</v>
      </c>
      <c r="I10" s="27" t="s">
        <v>17</v>
      </c>
      <c r="J10" s="28" t="s">
        <v>18</v>
      </c>
      <c r="K10" s="26" t="s">
        <v>16</v>
      </c>
      <c r="L10" s="27" t="s">
        <v>17</v>
      </c>
      <c r="M10" s="28" t="s">
        <v>18</v>
      </c>
      <c r="N10" s="26" t="s">
        <v>16</v>
      </c>
      <c r="O10" s="27" t="s">
        <v>17</v>
      </c>
      <c r="P10" s="28" t="s">
        <v>18</v>
      </c>
      <c r="Q10" s="26" t="s">
        <v>16</v>
      </c>
      <c r="R10" s="27" t="s">
        <v>17</v>
      </c>
      <c r="S10" s="28" t="s">
        <v>18</v>
      </c>
      <c r="T10" s="26" t="s">
        <v>16</v>
      </c>
      <c r="U10" s="27" t="s">
        <v>17</v>
      </c>
      <c r="V10" s="28" t="s">
        <v>18</v>
      </c>
      <c r="W10" s="26" t="s">
        <v>16</v>
      </c>
      <c r="X10" s="27" t="s">
        <v>17</v>
      </c>
      <c r="Y10" s="28" t="s">
        <v>18</v>
      </c>
      <c r="Z10" s="13"/>
      <c r="AA10" s="29"/>
      <c r="AB10" s="19"/>
      <c r="AC10" s="19"/>
      <c r="AD10" s="19"/>
      <c r="AE10" s="19"/>
      <c r="AF10" s="19"/>
      <c r="AG10" s="19"/>
    </row>
    <row r="11" ht="14.25" customHeight="1">
      <c r="A11" s="13"/>
      <c r="B11" s="30">
        <v>1.0</v>
      </c>
      <c r="C11" s="31" t="s">
        <v>19</v>
      </c>
      <c r="D11" s="32" t="s">
        <v>20</v>
      </c>
      <c r="E11" s="33" t="s">
        <v>21</v>
      </c>
      <c r="F11" s="34">
        <v>3.2</v>
      </c>
      <c r="G11" s="35" t="s">
        <v>22</v>
      </c>
      <c r="H11" s="36"/>
      <c r="I11" s="15"/>
      <c r="J11" s="16"/>
      <c r="K11" s="37">
        <v>1.0</v>
      </c>
      <c r="L11" s="38"/>
      <c r="M11" s="39"/>
      <c r="N11" s="36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3"/>
      <c r="AA11" s="40">
        <f>SUM(H11:Z11)</f>
        <v>1</v>
      </c>
      <c r="AB11" s="19"/>
      <c r="AC11" s="19"/>
      <c r="AD11" s="19"/>
      <c r="AE11" s="19"/>
      <c r="AF11" s="19"/>
      <c r="AG11" s="19"/>
    </row>
    <row r="12" ht="14.25" customHeight="1">
      <c r="A12" s="13"/>
      <c r="B12" s="30">
        <v>2.0</v>
      </c>
      <c r="C12" s="31" t="s">
        <v>19</v>
      </c>
      <c r="D12" s="32" t="s">
        <v>23</v>
      </c>
      <c r="E12" s="33" t="s">
        <v>24</v>
      </c>
      <c r="F12" s="23"/>
      <c r="G12" s="35" t="s">
        <v>22</v>
      </c>
      <c r="H12" s="41"/>
      <c r="J12" s="42"/>
      <c r="K12" s="37"/>
      <c r="L12" s="38"/>
      <c r="M12" s="39">
        <v>1.0</v>
      </c>
      <c r="N12" s="41"/>
      <c r="Y12" s="42"/>
      <c r="Z12" s="13"/>
      <c r="AA12" s="40">
        <f t="shared" ref="AA12:AA15" si="1">SUM(H12:Y12)</f>
        <v>1</v>
      </c>
      <c r="AB12" s="19"/>
      <c r="AC12" s="19"/>
      <c r="AD12" s="19"/>
      <c r="AE12" s="19"/>
      <c r="AF12" s="19"/>
      <c r="AG12" s="19"/>
    </row>
    <row r="13" ht="14.25" customHeight="1">
      <c r="A13" s="13"/>
      <c r="B13" s="30">
        <v>3.0</v>
      </c>
      <c r="C13" s="31" t="s">
        <v>19</v>
      </c>
      <c r="D13" s="32" t="s">
        <v>20</v>
      </c>
      <c r="E13" s="33" t="s">
        <v>25</v>
      </c>
      <c r="F13" s="23"/>
      <c r="G13" s="35" t="s">
        <v>26</v>
      </c>
      <c r="H13" s="41"/>
      <c r="J13" s="42"/>
      <c r="K13" s="37"/>
      <c r="L13" s="38">
        <v>1.0</v>
      </c>
      <c r="M13" s="39"/>
      <c r="N13" s="41"/>
      <c r="Y13" s="42"/>
      <c r="Z13" s="13"/>
      <c r="AA13" s="40">
        <f t="shared" si="1"/>
        <v>1</v>
      </c>
      <c r="AB13" s="19"/>
      <c r="AC13" s="19"/>
      <c r="AD13" s="19"/>
      <c r="AE13" s="19"/>
      <c r="AF13" s="19"/>
      <c r="AG13" s="19"/>
    </row>
    <row r="14" ht="14.25" customHeight="1">
      <c r="A14" s="13"/>
      <c r="B14" s="30">
        <v>4.0</v>
      </c>
      <c r="C14" s="31" t="s">
        <v>19</v>
      </c>
      <c r="D14" s="32" t="s">
        <v>23</v>
      </c>
      <c r="E14" s="33" t="s">
        <v>27</v>
      </c>
      <c r="F14" s="23"/>
      <c r="G14" s="35" t="s">
        <v>28</v>
      </c>
      <c r="H14" s="41"/>
      <c r="J14" s="42"/>
      <c r="K14" s="37"/>
      <c r="L14" s="38">
        <v>1.0</v>
      </c>
      <c r="M14" s="39"/>
      <c r="N14" s="41"/>
      <c r="Y14" s="42"/>
      <c r="Z14" s="13"/>
      <c r="AA14" s="40">
        <f t="shared" si="1"/>
        <v>1</v>
      </c>
      <c r="AB14" s="19"/>
      <c r="AC14" s="19"/>
      <c r="AD14" s="19"/>
      <c r="AE14" s="19"/>
      <c r="AF14" s="19"/>
      <c r="AG14" s="19"/>
    </row>
    <row r="15" ht="14.25" customHeight="1">
      <c r="A15" s="13"/>
      <c r="B15" s="43">
        <v>5.0</v>
      </c>
      <c r="C15" s="44" t="s">
        <v>19</v>
      </c>
      <c r="D15" s="32" t="s">
        <v>23</v>
      </c>
      <c r="E15" s="45" t="s">
        <v>29</v>
      </c>
      <c r="F15" s="29"/>
      <c r="G15" s="35" t="s">
        <v>26</v>
      </c>
      <c r="H15" s="20"/>
      <c r="I15" s="21"/>
      <c r="J15" s="22"/>
      <c r="K15" s="37"/>
      <c r="L15" s="38">
        <v>1.0</v>
      </c>
      <c r="M15" s="39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2"/>
      <c r="Z15" s="13"/>
      <c r="AA15" s="46">
        <f t="shared" si="1"/>
        <v>1</v>
      </c>
      <c r="AB15" s="19"/>
      <c r="AC15" s="19"/>
      <c r="AD15" s="19"/>
      <c r="AE15" s="19"/>
      <c r="AF15" s="19"/>
      <c r="AG15" s="19"/>
    </row>
    <row r="16" ht="14.25" customHeight="1">
      <c r="A16" s="13"/>
      <c r="B16" s="47"/>
      <c r="C16" s="48" t="s">
        <v>30</v>
      </c>
      <c r="D16" s="49"/>
      <c r="E16" s="49"/>
      <c r="F16" s="49"/>
      <c r="G16" s="50"/>
      <c r="H16" s="51">
        <f t="shared" ref="H16:Y16" si="2">SUM(H11:H15)</f>
        <v>0</v>
      </c>
      <c r="I16" s="51">
        <f t="shared" si="2"/>
        <v>0</v>
      </c>
      <c r="J16" s="51">
        <f t="shared" si="2"/>
        <v>0</v>
      </c>
      <c r="K16" s="51">
        <f t="shared" si="2"/>
        <v>1</v>
      </c>
      <c r="L16" s="51">
        <f t="shared" si="2"/>
        <v>3</v>
      </c>
      <c r="M16" s="51">
        <f t="shared" si="2"/>
        <v>1</v>
      </c>
      <c r="N16" s="51">
        <f t="shared" si="2"/>
        <v>0</v>
      </c>
      <c r="O16" s="51">
        <f t="shared" si="2"/>
        <v>0</v>
      </c>
      <c r="P16" s="51">
        <f t="shared" si="2"/>
        <v>0</v>
      </c>
      <c r="Q16" s="51">
        <f t="shared" si="2"/>
        <v>0</v>
      </c>
      <c r="R16" s="51">
        <f t="shared" si="2"/>
        <v>0</v>
      </c>
      <c r="S16" s="51">
        <f t="shared" si="2"/>
        <v>0</v>
      </c>
      <c r="T16" s="51">
        <f t="shared" si="2"/>
        <v>0</v>
      </c>
      <c r="U16" s="51">
        <f t="shared" si="2"/>
        <v>0</v>
      </c>
      <c r="V16" s="51">
        <f t="shared" si="2"/>
        <v>0</v>
      </c>
      <c r="W16" s="51">
        <f t="shared" si="2"/>
        <v>0</v>
      </c>
      <c r="X16" s="51">
        <f t="shared" si="2"/>
        <v>0</v>
      </c>
      <c r="Y16" s="51">
        <f t="shared" si="2"/>
        <v>0</v>
      </c>
      <c r="Z16" s="13"/>
      <c r="AA16" s="40">
        <f>SUM(AA11:AA15)</f>
        <v>5</v>
      </c>
      <c r="AB16" s="19"/>
      <c r="AC16" s="19"/>
      <c r="AD16" s="19"/>
      <c r="AE16" s="19"/>
      <c r="AF16" s="19"/>
      <c r="AG16" s="19"/>
    </row>
    <row r="17" ht="14.25" customHeight="1">
      <c r="A17" s="13"/>
      <c r="B17" s="13"/>
      <c r="C17" s="13"/>
      <c r="D17" s="52"/>
      <c r="E17" s="13"/>
      <c r="F17" s="13"/>
      <c r="G17" s="53"/>
      <c r="H17" s="5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9"/>
      <c r="AC17" s="19"/>
      <c r="AD17" s="19"/>
      <c r="AE17" s="19"/>
      <c r="AF17" s="19"/>
      <c r="AG17" s="19"/>
    </row>
    <row r="18" ht="14.25" customHeight="1">
      <c r="A18" s="13"/>
      <c r="B18" s="13"/>
      <c r="C18" s="13"/>
      <c r="D18" s="52"/>
      <c r="E18" s="13"/>
      <c r="F18" s="13"/>
      <c r="G18" s="53"/>
      <c r="H18" s="5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9"/>
      <c r="AC18" s="19"/>
      <c r="AD18" s="19"/>
      <c r="AE18" s="19"/>
      <c r="AF18" s="19"/>
      <c r="AG18" s="19"/>
    </row>
    <row r="19" ht="14.25" customHeight="1">
      <c r="A19" s="13"/>
      <c r="B19" s="13"/>
      <c r="C19" s="13"/>
      <c r="D19" s="52"/>
      <c r="E19" s="13"/>
      <c r="F19" s="13"/>
      <c r="G19" s="53"/>
      <c r="H19" s="5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9"/>
      <c r="AC19" s="19"/>
      <c r="AD19" s="19"/>
      <c r="AE19" s="19"/>
      <c r="AF19" s="19"/>
      <c r="AG19" s="19"/>
    </row>
    <row r="20" ht="14.25" customHeight="1">
      <c r="A20" s="13"/>
      <c r="B20" s="14"/>
      <c r="C20" s="15"/>
      <c r="D20" s="15"/>
      <c r="E20" s="15"/>
      <c r="F20" s="15"/>
      <c r="G20" s="16"/>
      <c r="H20" s="17" t="s">
        <v>4</v>
      </c>
      <c r="I20" s="15"/>
      <c r="J20" s="16"/>
      <c r="K20" s="17" t="s">
        <v>5</v>
      </c>
      <c r="L20" s="15"/>
      <c r="M20" s="16"/>
      <c r="N20" s="17" t="s">
        <v>6</v>
      </c>
      <c r="O20" s="15"/>
      <c r="P20" s="16"/>
      <c r="Q20" s="17" t="s">
        <v>31</v>
      </c>
      <c r="R20" s="15"/>
      <c r="S20" s="16"/>
      <c r="T20" s="17" t="s">
        <v>8</v>
      </c>
      <c r="U20" s="15"/>
      <c r="V20" s="16"/>
      <c r="W20" s="17" t="s">
        <v>9</v>
      </c>
      <c r="X20" s="15"/>
      <c r="Y20" s="16"/>
      <c r="Z20" s="13"/>
      <c r="AA20" s="54" t="s">
        <v>10</v>
      </c>
      <c r="AB20" s="19"/>
      <c r="AC20" s="19"/>
      <c r="AD20" s="19"/>
      <c r="AE20" s="19"/>
      <c r="AF20" s="19"/>
      <c r="AG20" s="19"/>
    </row>
    <row r="21" ht="20.25" customHeight="1">
      <c r="A21" s="13"/>
      <c r="B21" s="20"/>
      <c r="C21" s="21"/>
      <c r="D21" s="21"/>
      <c r="E21" s="21"/>
      <c r="F21" s="21"/>
      <c r="G21" s="22"/>
      <c r="H21" s="20"/>
      <c r="I21" s="21"/>
      <c r="J21" s="22"/>
      <c r="K21" s="20"/>
      <c r="L21" s="21"/>
      <c r="M21" s="22"/>
      <c r="N21" s="20"/>
      <c r="O21" s="21"/>
      <c r="P21" s="22"/>
      <c r="Q21" s="20"/>
      <c r="R21" s="21"/>
      <c r="S21" s="22"/>
      <c r="T21" s="20"/>
      <c r="U21" s="21"/>
      <c r="V21" s="22"/>
      <c r="W21" s="20"/>
      <c r="X21" s="21"/>
      <c r="Y21" s="22"/>
      <c r="Z21" s="13"/>
      <c r="AA21" s="23"/>
      <c r="AB21" s="19"/>
      <c r="AC21" s="19"/>
      <c r="AD21" s="19"/>
      <c r="AE21" s="19"/>
      <c r="AF21" s="19"/>
      <c r="AG21" s="19"/>
    </row>
    <row r="22" ht="14.25" customHeight="1">
      <c r="A22" s="13"/>
      <c r="B22" s="24"/>
      <c r="C22" s="25" t="s">
        <v>32</v>
      </c>
      <c r="D22" s="25" t="s">
        <v>12</v>
      </c>
      <c r="E22" s="25" t="s">
        <v>13</v>
      </c>
      <c r="F22" s="25" t="s">
        <v>14</v>
      </c>
      <c r="G22" s="25" t="s">
        <v>15</v>
      </c>
      <c r="H22" s="26" t="s">
        <v>16</v>
      </c>
      <c r="I22" s="27" t="s">
        <v>17</v>
      </c>
      <c r="J22" s="28" t="s">
        <v>18</v>
      </c>
      <c r="K22" s="26" t="s">
        <v>16</v>
      </c>
      <c r="L22" s="27" t="s">
        <v>17</v>
      </c>
      <c r="M22" s="28" t="s">
        <v>18</v>
      </c>
      <c r="N22" s="26" t="s">
        <v>16</v>
      </c>
      <c r="O22" s="27" t="s">
        <v>17</v>
      </c>
      <c r="P22" s="28" t="s">
        <v>18</v>
      </c>
      <c r="Q22" s="26" t="s">
        <v>16</v>
      </c>
      <c r="R22" s="27" t="s">
        <v>17</v>
      </c>
      <c r="S22" s="28" t="s">
        <v>18</v>
      </c>
      <c r="T22" s="26" t="s">
        <v>16</v>
      </c>
      <c r="U22" s="27" t="s">
        <v>17</v>
      </c>
      <c r="V22" s="28" t="s">
        <v>18</v>
      </c>
      <c r="W22" s="26" t="s">
        <v>16</v>
      </c>
      <c r="X22" s="27" t="s">
        <v>17</v>
      </c>
      <c r="Y22" s="28" t="s">
        <v>18</v>
      </c>
      <c r="Z22" s="13"/>
      <c r="AA22" s="29"/>
      <c r="AB22" s="19"/>
      <c r="AC22" s="19"/>
      <c r="AD22" s="19"/>
      <c r="AE22" s="19"/>
      <c r="AF22" s="19"/>
      <c r="AG22" s="19"/>
    </row>
    <row r="23" ht="14.25" customHeight="1">
      <c r="A23" s="13"/>
      <c r="B23" s="30">
        <v>6.0</v>
      </c>
      <c r="C23" s="55" t="s">
        <v>33</v>
      </c>
      <c r="D23" s="56" t="s">
        <v>23</v>
      </c>
      <c r="E23" s="33" t="s">
        <v>34</v>
      </c>
      <c r="F23" s="47">
        <v>3.2</v>
      </c>
      <c r="G23" s="35" t="s">
        <v>35</v>
      </c>
      <c r="H23" s="36"/>
      <c r="I23" s="15"/>
      <c r="J23" s="15"/>
      <c r="K23" s="15"/>
      <c r="L23" s="15"/>
      <c r="M23" s="16"/>
      <c r="N23" s="37"/>
      <c r="O23" s="38">
        <v>1.0</v>
      </c>
      <c r="P23" s="39"/>
      <c r="Q23" s="36"/>
      <c r="R23" s="15"/>
      <c r="S23" s="15"/>
      <c r="T23" s="15"/>
      <c r="U23" s="15"/>
      <c r="V23" s="15"/>
      <c r="W23" s="15"/>
      <c r="X23" s="15"/>
      <c r="Y23" s="16"/>
      <c r="Z23" s="13"/>
      <c r="AA23" s="40">
        <f t="shared" ref="AA23:AA26" si="3">SUM(H23:Y23)</f>
        <v>1</v>
      </c>
      <c r="AB23" s="19"/>
      <c r="AC23" s="19"/>
      <c r="AD23" s="19"/>
      <c r="AE23" s="19"/>
      <c r="AF23" s="19"/>
      <c r="AG23" s="19"/>
    </row>
    <row r="24" ht="14.25" customHeight="1">
      <c r="A24" s="13"/>
      <c r="B24" s="30">
        <v>7.0</v>
      </c>
      <c r="C24" s="55" t="s">
        <v>33</v>
      </c>
      <c r="D24" s="23"/>
      <c r="E24" s="33" t="s">
        <v>36</v>
      </c>
      <c r="F24" s="47">
        <v>3.2</v>
      </c>
      <c r="G24" s="35" t="s">
        <v>35</v>
      </c>
      <c r="H24" s="41"/>
      <c r="M24" s="42"/>
      <c r="N24" s="37"/>
      <c r="O24" s="38">
        <v>1.0</v>
      </c>
      <c r="P24" s="39"/>
      <c r="Q24" s="41"/>
      <c r="Y24" s="42"/>
      <c r="Z24" s="13"/>
      <c r="AA24" s="40">
        <f t="shared" si="3"/>
        <v>1</v>
      </c>
      <c r="AB24" s="19"/>
      <c r="AC24" s="19"/>
      <c r="AD24" s="19"/>
      <c r="AE24" s="19"/>
      <c r="AF24" s="19"/>
      <c r="AG24" s="19"/>
    </row>
    <row r="25" ht="14.25" customHeight="1">
      <c r="A25" s="13"/>
      <c r="B25" s="30">
        <v>8.0</v>
      </c>
      <c r="C25" s="55" t="s">
        <v>33</v>
      </c>
      <c r="D25" s="23"/>
      <c r="E25" s="33" t="s">
        <v>37</v>
      </c>
      <c r="F25" s="47">
        <v>3.2</v>
      </c>
      <c r="G25" s="35" t="s">
        <v>35</v>
      </c>
      <c r="H25" s="41"/>
      <c r="M25" s="42"/>
      <c r="N25" s="37"/>
      <c r="O25" s="38"/>
      <c r="P25" s="39">
        <v>1.0</v>
      </c>
      <c r="Q25" s="41"/>
      <c r="Y25" s="42"/>
      <c r="Z25" s="13"/>
      <c r="AA25" s="40">
        <f t="shared" si="3"/>
        <v>1</v>
      </c>
      <c r="AB25" s="19"/>
      <c r="AC25" s="19"/>
      <c r="AD25" s="19"/>
      <c r="AE25" s="19"/>
      <c r="AF25" s="19"/>
      <c r="AG25" s="19"/>
    </row>
    <row r="26" ht="14.25" customHeight="1">
      <c r="A26" s="13"/>
      <c r="B26" s="30">
        <v>9.0</v>
      </c>
      <c r="C26" s="55" t="s">
        <v>33</v>
      </c>
      <c r="D26" s="29"/>
      <c r="E26" s="33" t="s">
        <v>38</v>
      </c>
      <c r="F26" s="47">
        <v>3.2</v>
      </c>
      <c r="G26" s="35" t="s">
        <v>35</v>
      </c>
      <c r="H26" s="20"/>
      <c r="I26" s="21"/>
      <c r="J26" s="21"/>
      <c r="K26" s="21"/>
      <c r="L26" s="21"/>
      <c r="M26" s="22"/>
      <c r="N26" s="37"/>
      <c r="O26" s="38">
        <v>1.0</v>
      </c>
      <c r="P26" s="39"/>
      <c r="Q26" s="20"/>
      <c r="R26" s="21"/>
      <c r="S26" s="21"/>
      <c r="T26" s="21"/>
      <c r="U26" s="21"/>
      <c r="V26" s="21"/>
      <c r="W26" s="21"/>
      <c r="X26" s="21"/>
      <c r="Y26" s="22"/>
      <c r="Z26" s="13"/>
      <c r="AA26" s="40">
        <f t="shared" si="3"/>
        <v>1</v>
      </c>
      <c r="AB26" s="19"/>
      <c r="AC26" s="19"/>
      <c r="AD26" s="19"/>
      <c r="AE26" s="19"/>
      <c r="AF26" s="19"/>
      <c r="AG26" s="19"/>
    </row>
    <row r="27" ht="14.25" customHeight="1">
      <c r="A27" s="13"/>
      <c r="B27" s="47"/>
      <c r="C27" s="48" t="s">
        <v>30</v>
      </c>
      <c r="D27" s="49"/>
      <c r="E27" s="49"/>
      <c r="F27" s="49"/>
      <c r="G27" s="50"/>
      <c r="H27" s="51">
        <f t="shared" ref="H27:Y27" si="4">SUM(H22:H26)</f>
        <v>0</v>
      </c>
      <c r="I27" s="51">
        <f t="shared" si="4"/>
        <v>0</v>
      </c>
      <c r="J27" s="51">
        <f t="shared" si="4"/>
        <v>0</v>
      </c>
      <c r="K27" s="51">
        <f t="shared" si="4"/>
        <v>0</v>
      </c>
      <c r="L27" s="51">
        <f t="shared" si="4"/>
        <v>0</v>
      </c>
      <c r="M27" s="51">
        <f t="shared" si="4"/>
        <v>0</v>
      </c>
      <c r="N27" s="51">
        <f t="shared" si="4"/>
        <v>0</v>
      </c>
      <c r="O27" s="51">
        <f t="shared" si="4"/>
        <v>3</v>
      </c>
      <c r="P27" s="51">
        <f t="shared" si="4"/>
        <v>1</v>
      </c>
      <c r="Q27" s="51">
        <f t="shared" si="4"/>
        <v>0</v>
      </c>
      <c r="R27" s="51">
        <f t="shared" si="4"/>
        <v>0</v>
      </c>
      <c r="S27" s="51">
        <f t="shared" si="4"/>
        <v>0</v>
      </c>
      <c r="T27" s="51">
        <f t="shared" si="4"/>
        <v>0</v>
      </c>
      <c r="U27" s="51">
        <f t="shared" si="4"/>
        <v>0</v>
      </c>
      <c r="V27" s="51">
        <f t="shared" si="4"/>
        <v>0</v>
      </c>
      <c r="W27" s="51">
        <f t="shared" si="4"/>
        <v>0</v>
      </c>
      <c r="X27" s="51">
        <f t="shared" si="4"/>
        <v>0</v>
      </c>
      <c r="Y27" s="51">
        <f t="shared" si="4"/>
        <v>0</v>
      </c>
      <c r="Z27" s="13"/>
      <c r="AA27" s="40">
        <f>SUM(AA23:AA26)</f>
        <v>4</v>
      </c>
      <c r="AB27" s="19"/>
      <c r="AC27" s="19"/>
      <c r="AD27" s="19"/>
      <c r="AE27" s="19"/>
      <c r="AF27" s="19"/>
      <c r="AG27" s="19"/>
    </row>
    <row r="28" ht="14.25" customHeight="1">
      <c r="A28" s="13"/>
      <c r="B28" s="13"/>
      <c r="C28" s="13"/>
      <c r="D28" s="52"/>
      <c r="E28" s="13"/>
      <c r="F28" s="13"/>
      <c r="G28" s="53"/>
      <c r="H28" s="5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9"/>
      <c r="AC28" s="19"/>
      <c r="AD28" s="19"/>
      <c r="AE28" s="19"/>
      <c r="AF28" s="19"/>
      <c r="AG28" s="19"/>
    </row>
    <row r="29" ht="14.25" customHeight="1">
      <c r="A29" s="13"/>
      <c r="B29" s="13"/>
      <c r="C29" s="13"/>
      <c r="D29" s="52"/>
      <c r="E29" s="13"/>
      <c r="F29" s="13"/>
      <c r="G29" s="53"/>
      <c r="H29" s="5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9"/>
      <c r="AC29" s="19"/>
      <c r="AD29" s="19"/>
      <c r="AE29" s="19"/>
      <c r="AF29" s="19"/>
      <c r="AG29" s="19"/>
    </row>
    <row r="30" ht="14.25" customHeight="1">
      <c r="A30" s="13"/>
      <c r="B30" s="13"/>
      <c r="C30" s="13"/>
      <c r="D30" s="52"/>
      <c r="E30" s="13"/>
      <c r="F30" s="13"/>
      <c r="G30" s="53"/>
      <c r="H30" s="5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9"/>
      <c r="AC30" s="19"/>
      <c r="AD30" s="19"/>
      <c r="AE30" s="19"/>
      <c r="AF30" s="19"/>
      <c r="AG30" s="19"/>
    </row>
    <row r="31" ht="14.25" customHeight="1">
      <c r="A31" s="13"/>
      <c r="B31" s="14"/>
      <c r="C31" s="15"/>
      <c r="D31" s="15"/>
      <c r="E31" s="15"/>
      <c r="F31" s="15"/>
      <c r="G31" s="16"/>
      <c r="H31" s="17" t="s">
        <v>4</v>
      </c>
      <c r="I31" s="15"/>
      <c r="J31" s="15"/>
      <c r="K31" s="57" t="s">
        <v>5</v>
      </c>
      <c r="L31" s="15"/>
      <c r="M31" s="15"/>
      <c r="N31" s="57" t="s">
        <v>6</v>
      </c>
      <c r="O31" s="15"/>
      <c r="P31" s="15"/>
      <c r="Q31" s="57" t="s">
        <v>31</v>
      </c>
      <c r="R31" s="15"/>
      <c r="S31" s="15"/>
      <c r="T31" s="57" t="s">
        <v>8</v>
      </c>
      <c r="U31" s="15"/>
      <c r="V31" s="15"/>
      <c r="W31" s="17" t="s">
        <v>9</v>
      </c>
      <c r="X31" s="15"/>
      <c r="Y31" s="16"/>
      <c r="Z31" s="13"/>
      <c r="AA31" s="54" t="s">
        <v>10</v>
      </c>
      <c r="AB31" s="19"/>
      <c r="AC31" s="19"/>
      <c r="AD31" s="19"/>
      <c r="AE31" s="19"/>
      <c r="AF31" s="19"/>
      <c r="AG31" s="19"/>
    </row>
    <row r="32" ht="21.0" customHeight="1">
      <c r="A32" s="13"/>
      <c r="B32" s="20"/>
      <c r="C32" s="21"/>
      <c r="D32" s="21"/>
      <c r="E32" s="21"/>
      <c r="F32" s="21"/>
      <c r="G32" s="22"/>
      <c r="H32" s="2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0"/>
      <c r="X32" s="21"/>
      <c r="Y32" s="22"/>
      <c r="Z32" s="13"/>
      <c r="AA32" s="23"/>
      <c r="AB32" s="19"/>
      <c r="AC32" s="19"/>
      <c r="AD32" s="19"/>
      <c r="AE32" s="19"/>
      <c r="AF32" s="19"/>
      <c r="AG32" s="19"/>
    </row>
    <row r="33" ht="14.25" customHeight="1">
      <c r="A33" s="13"/>
      <c r="B33" s="24"/>
      <c r="C33" s="25" t="s">
        <v>39</v>
      </c>
      <c r="D33" s="25" t="s">
        <v>12</v>
      </c>
      <c r="E33" s="25" t="s">
        <v>13</v>
      </c>
      <c r="F33" s="25" t="s">
        <v>14</v>
      </c>
      <c r="G33" s="25" t="s">
        <v>15</v>
      </c>
      <c r="H33" s="26" t="s">
        <v>16</v>
      </c>
      <c r="I33" s="27" t="s">
        <v>17</v>
      </c>
      <c r="J33" s="28" t="s">
        <v>18</v>
      </c>
      <c r="K33" s="26" t="s">
        <v>16</v>
      </c>
      <c r="L33" s="27" t="s">
        <v>17</v>
      </c>
      <c r="M33" s="28" t="s">
        <v>18</v>
      </c>
      <c r="N33" s="26" t="s">
        <v>16</v>
      </c>
      <c r="O33" s="27" t="s">
        <v>17</v>
      </c>
      <c r="P33" s="28" t="s">
        <v>18</v>
      </c>
      <c r="Q33" s="26" t="s">
        <v>16</v>
      </c>
      <c r="R33" s="27" t="s">
        <v>17</v>
      </c>
      <c r="S33" s="28" t="s">
        <v>18</v>
      </c>
      <c r="T33" s="26" t="s">
        <v>16</v>
      </c>
      <c r="U33" s="27" t="s">
        <v>17</v>
      </c>
      <c r="V33" s="28" t="s">
        <v>18</v>
      </c>
      <c r="W33" s="58" t="s">
        <v>16</v>
      </c>
      <c r="X33" s="59" t="s">
        <v>17</v>
      </c>
      <c r="Y33" s="60" t="s">
        <v>18</v>
      </c>
      <c r="Z33" s="13"/>
      <c r="AA33" s="29"/>
      <c r="AB33" s="19"/>
      <c r="AC33" s="19"/>
      <c r="AD33" s="19"/>
      <c r="AE33" s="19"/>
      <c r="AF33" s="19"/>
      <c r="AG33" s="19"/>
    </row>
    <row r="34" ht="14.25" customHeight="1">
      <c r="A34" s="13"/>
      <c r="B34" s="30">
        <v>10.0</v>
      </c>
      <c r="C34" s="55" t="s">
        <v>40</v>
      </c>
      <c r="D34" s="56" t="s">
        <v>23</v>
      </c>
      <c r="E34" s="45" t="s">
        <v>41</v>
      </c>
      <c r="F34" s="34">
        <v>3.2</v>
      </c>
      <c r="G34" s="35" t="s">
        <v>42</v>
      </c>
      <c r="H34" s="36"/>
      <c r="I34" s="15"/>
      <c r="J34" s="16"/>
      <c r="K34" s="37"/>
      <c r="L34" s="38">
        <v>1.0</v>
      </c>
      <c r="M34" s="39"/>
      <c r="N34" s="36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6"/>
      <c r="Z34" s="13"/>
      <c r="AA34" s="40">
        <f t="shared" ref="AA34:AA38" si="5">SUM(H34:Y34)</f>
        <v>1</v>
      </c>
      <c r="AB34" s="19"/>
      <c r="AC34" s="19"/>
      <c r="AD34" s="19"/>
      <c r="AE34" s="19"/>
      <c r="AF34" s="19"/>
      <c r="AG34" s="19"/>
    </row>
    <row r="35" ht="14.25" customHeight="1">
      <c r="A35" s="13"/>
      <c r="B35" s="30">
        <v>11.0</v>
      </c>
      <c r="C35" s="55" t="s">
        <v>40</v>
      </c>
      <c r="D35" s="23"/>
      <c r="E35" s="23"/>
      <c r="F35" s="23"/>
      <c r="G35" s="35" t="s">
        <v>42</v>
      </c>
      <c r="H35" s="41"/>
      <c r="J35" s="42"/>
      <c r="K35" s="37">
        <v>1.0</v>
      </c>
      <c r="L35" s="38"/>
      <c r="M35" s="39"/>
      <c r="N35" s="41"/>
      <c r="Y35" s="42"/>
      <c r="Z35" s="13"/>
      <c r="AA35" s="40">
        <f t="shared" si="5"/>
        <v>1</v>
      </c>
      <c r="AB35" s="19"/>
      <c r="AC35" s="19"/>
      <c r="AD35" s="19"/>
      <c r="AE35" s="19"/>
      <c r="AF35" s="19"/>
      <c r="AG35" s="19"/>
    </row>
    <row r="36" ht="14.25" customHeight="1">
      <c r="A36" s="13"/>
      <c r="B36" s="30">
        <v>12.0</v>
      </c>
      <c r="C36" s="55" t="s">
        <v>40</v>
      </c>
      <c r="D36" s="23"/>
      <c r="E36" s="23"/>
      <c r="F36" s="23"/>
      <c r="G36" s="35" t="s">
        <v>42</v>
      </c>
      <c r="H36" s="41"/>
      <c r="J36" s="42"/>
      <c r="K36" s="37"/>
      <c r="L36" s="38">
        <v>1.0</v>
      </c>
      <c r="M36" s="39"/>
      <c r="N36" s="41"/>
      <c r="Y36" s="42"/>
      <c r="Z36" s="13"/>
      <c r="AA36" s="40">
        <f t="shared" si="5"/>
        <v>1</v>
      </c>
      <c r="AB36" s="19"/>
      <c r="AC36" s="19"/>
      <c r="AD36" s="19"/>
      <c r="AE36" s="19"/>
      <c r="AF36" s="19"/>
      <c r="AG36" s="19"/>
    </row>
    <row r="37" ht="14.25" customHeight="1">
      <c r="A37" s="13"/>
      <c r="B37" s="30">
        <v>13.0</v>
      </c>
      <c r="C37" s="55" t="s">
        <v>40</v>
      </c>
      <c r="D37" s="23"/>
      <c r="E37" s="23"/>
      <c r="F37" s="23"/>
      <c r="G37" s="35" t="s">
        <v>42</v>
      </c>
      <c r="H37" s="41"/>
      <c r="J37" s="42"/>
      <c r="K37" s="37"/>
      <c r="L37" s="38"/>
      <c r="M37" s="39">
        <v>1.0</v>
      </c>
      <c r="N37" s="41"/>
      <c r="Y37" s="42"/>
      <c r="Z37" s="13"/>
      <c r="AA37" s="40">
        <f t="shared" si="5"/>
        <v>1</v>
      </c>
      <c r="AB37" s="19"/>
      <c r="AC37" s="19"/>
      <c r="AD37" s="19"/>
      <c r="AE37" s="19"/>
      <c r="AF37" s="19"/>
      <c r="AG37" s="19"/>
    </row>
    <row r="38" ht="14.25" customHeight="1">
      <c r="A38" s="13"/>
      <c r="B38" s="30">
        <v>14.0</v>
      </c>
      <c r="C38" s="55" t="s">
        <v>40</v>
      </c>
      <c r="D38" s="29"/>
      <c r="E38" s="29"/>
      <c r="F38" s="29"/>
      <c r="G38" s="35" t="s">
        <v>43</v>
      </c>
      <c r="H38" s="20"/>
      <c r="I38" s="21"/>
      <c r="J38" s="22"/>
      <c r="K38" s="61"/>
      <c r="L38" s="62">
        <v>1.0</v>
      </c>
      <c r="M38" s="63"/>
      <c r="N38" s="20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2"/>
      <c r="Z38" s="13"/>
      <c r="AA38" s="40">
        <f t="shared" si="5"/>
        <v>1</v>
      </c>
      <c r="AB38" s="19"/>
      <c r="AC38" s="19"/>
      <c r="AD38" s="19"/>
      <c r="AE38" s="19"/>
      <c r="AF38" s="19"/>
      <c r="AG38" s="19"/>
    </row>
    <row r="39" ht="14.25" customHeight="1">
      <c r="A39" s="13"/>
      <c r="B39" s="47"/>
      <c r="C39" s="48" t="s">
        <v>30</v>
      </c>
      <c r="D39" s="49"/>
      <c r="E39" s="49"/>
      <c r="F39" s="49"/>
      <c r="G39" s="50"/>
      <c r="H39" s="51">
        <f t="shared" ref="H39:Y39" si="6">SUM(H34:H38)</f>
        <v>0</v>
      </c>
      <c r="I39" s="51">
        <f t="shared" si="6"/>
        <v>0</v>
      </c>
      <c r="J39" s="51">
        <f t="shared" si="6"/>
        <v>0</v>
      </c>
      <c r="K39" s="51">
        <f t="shared" si="6"/>
        <v>1</v>
      </c>
      <c r="L39" s="51">
        <f t="shared" si="6"/>
        <v>3</v>
      </c>
      <c r="M39" s="51">
        <f t="shared" si="6"/>
        <v>1</v>
      </c>
      <c r="N39" s="51">
        <f t="shared" si="6"/>
        <v>0</v>
      </c>
      <c r="O39" s="51">
        <f t="shared" si="6"/>
        <v>0</v>
      </c>
      <c r="P39" s="51">
        <f t="shared" si="6"/>
        <v>0</v>
      </c>
      <c r="Q39" s="51">
        <f t="shared" si="6"/>
        <v>0</v>
      </c>
      <c r="R39" s="51">
        <f t="shared" si="6"/>
        <v>0</v>
      </c>
      <c r="S39" s="51">
        <f t="shared" si="6"/>
        <v>0</v>
      </c>
      <c r="T39" s="51">
        <f t="shared" si="6"/>
        <v>0</v>
      </c>
      <c r="U39" s="51">
        <f t="shared" si="6"/>
        <v>0</v>
      </c>
      <c r="V39" s="51">
        <f t="shared" si="6"/>
        <v>0</v>
      </c>
      <c r="W39" s="51">
        <f t="shared" si="6"/>
        <v>0</v>
      </c>
      <c r="X39" s="51">
        <f t="shared" si="6"/>
        <v>0</v>
      </c>
      <c r="Y39" s="51">
        <f t="shared" si="6"/>
        <v>0</v>
      </c>
      <c r="Z39" s="13"/>
      <c r="AA39" s="40">
        <f>SUM(AA34:AA38)</f>
        <v>5</v>
      </c>
      <c r="AB39" s="19"/>
      <c r="AC39" s="19"/>
      <c r="AD39" s="19"/>
      <c r="AE39" s="19"/>
      <c r="AF39" s="19"/>
      <c r="AG39" s="19"/>
    </row>
    <row r="40" ht="14.25" customHeight="1">
      <c r="A40" s="13"/>
      <c r="B40" s="13"/>
      <c r="C40" s="13"/>
      <c r="D40" s="52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9"/>
      <c r="AC40" s="19"/>
      <c r="AD40" s="19"/>
      <c r="AE40" s="19"/>
      <c r="AF40" s="19"/>
      <c r="AG40" s="19"/>
    </row>
    <row r="41" ht="14.25" customHeight="1">
      <c r="A41" s="13"/>
      <c r="B41" s="13"/>
      <c r="C41" s="13"/>
      <c r="D41" s="52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9"/>
      <c r="AC41" s="19"/>
      <c r="AD41" s="19"/>
      <c r="AE41" s="19"/>
      <c r="AF41" s="19"/>
      <c r="AG41" s="19"/>
    </row>
    <row r="42" ht="14.25" customHeight="1">
      <c r="A42" s="13"/>
      <c r="B42" s="13"/>
      <c r="C42" s="13"/>
      <c r="D42" s="52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9"/>
      <c r="AC42" s="19"/>
      <c r="AD42" s="19"/>
      <c r="AE42" s="19"/>
      <c r="AF42" s="19"/>
      <c r="AG42" s="19"/>
    </row>
    <row r="43" ht="40.5" customHeight="1">
      <c r="A43" s="13"/>
      <c r="B43" s="64"/>
      <c r="C43" s="49"/>
      <c r="D43" s="49"/>
      <c r="E43" s="49"/>
      <c r="F43" s="49"/>
      <c r="G43" s="50"/>
      <c r="H43" s="65" t="s">
        <v>4</v>
      </c>
      <c r="I43" s="49"/>
      <c r="J43" s="50"/>
      <c r="K43" s="65" t="s">
        <v>5</v>
      </c>
      <c r="L43" s="49"/>
      <c r="M43" s="50"/>
      <c r="N43" s="65" t="s">
        <v>6</v>
      </c>
      <c r="O43" s="49"/>
      <c r="P43" s="50"/>
      <c r="Q43" s="65" t="s">
        <v>31</v>
      </c>
      <c r="R43" s="49"/>
      <c r="S43" s="50"/>
      <c r="T43" s="65" t="s">
        <v>8</v>
      </c>
      <c r="U43" s="49"/>
      <c r="V43" s="49"/>
      <c r="W43" s="65" t="s">
        <v>9</v>
      </c>
      <c r="X43" s="49"/>
      <c r="Y43" s="50"/>
      <c r="Z43" s="13"/>
      <c r="AA43" s="54" t="s">
        <v>10</v>
      </c>
      <c r="AB43" s="19"/>
      <c r="AC43" s="19"/>
      <c r="AD43" s="19"/>
      <c r="AE43" s="19"/>
      <c r="AF43" s="19"/>
      <c r="AG43" s="19"/>
    </row>
    <row r="44" ht="14.25" customHeight="1">
      <c r="A44" s="13"/>
      <c r="B44" s="24"/>
      <c r="C44" s="25" t="s">
        <v>44</v>
      </c>
      <c r="D44" s="25" t="s">
        <v>12</v>
      </c>
      <c r="E44" s="25" t="s">
        <v>13</v>
      </c>
      <c r="F44" s="25" t="s">
        <v>14</v>
      </c>
      <c r="G44" s="25" t="s">
        <v>15</v>
      </c>
      <c r="H44" s="26" t="s">
        <v>16</v>
      </c>
      <c r="I44" s="27" t="s">
        <v>17</v>
      </c>
      <c r="J44" s="28" t="s">
        <v>18</v>
      </c>
      <c r="K44" s="26" t="s">
        <v>16</v>
      </c>
      <c r="L44" s="27" t="s">
        <v>17</v>
      </c>
      <c r="M44" s="28" t="s">
        <v>18</v>
      </c>
      <c r="N44" s="26" t="s">
        <v>16</v>
      </c>
      <c r="O44" s="27" t="s">
        <v>17</v>
      </c>
      <c r="P44" s="28" t="s">
        <v>18</v>
      </c>
      <c r="Q44" s="26" t="s">
        <v>16</v>
      </c>
      <c r="R44" s="27" t="s">
        <v>17</v>
      </c>
      <c r="S44" s="28" t="s">
        <v>18</v>
      </c>
      <c r="T44" s="26" t="s">
        <v>16</v>
      </c>
      <c r="U44" s="27" t="s">
        <v>17</v>
      </c>
      <c r="V44" s="28" t="s">
        <v>18</v>
      </c>
      <c r="W44" s="26" t="s">
        <v>16</v>
      </c>
      <c r="X44" s="27" t="s">
        <v>17</v>
      </c>
      <c r="Y44" s="28" t="s">
        <v>18</v>
      </c>
      <c r="Z44" s="13"/>
      <c r="AA44" s="29"/>
      <c r="AB44" s="19"/>
      <c r="AC44" s="19"/>
      <c r="AD44" s="19"/>
      <c r="AE44" s="19"/>
      <c r="AF44" s="19"/>
      <c r="AG44" s="19"/>
    </row>
    <row r="45" ht="14.25" customHeight="1">
      <c r="A45" s="13"/>
      <c r="B45" s="30">
        <v>15.0</v>
      </c>
      <c r="C45" s="55" t="s">
        <v>45</v>
      </c>
      <c r="D45" s="56" t="s">
        <v>20</v>
      </c>
      <c r="E45" s="45" t="s">
        <v>41</v>
      </c>
      <c r="F45" s="34">
        <v>3.2</v>
      </c>
      <c r="G45" s="35" t="s">
        <v>26</v>
      </c>
      <c r="H45" s="36"/>
      <c r="I45" s="15"/>
      <c r="J45" s="15"/>
      <c r="K45" s="15"/>
      <c r="L45" s="15"/>
      <c r="M45" s="15"/>
      <c r="N45" s="15"/>
      <c r="O45" s="15"/>
      <c r="P45" s="16"/>
      <c r="Q45" s="37">
        <v>1.0</v>
      </c>
      <c r="R45" s="66"/>
      <c r="S45" s="39"/>
      <c r="T45" s="36"/>
      <c r="U45" s="15"/>
      <c r="V45" s="15"/>
      <c r="W45" s="15"/>
      <c r="X45" s="15"/>
      <c r="Y45" s="16"/>
      <c r="Z45" s="13"/>
      <c r="AA45" s="40">
        <f t="shared" ref="AA45:AA50" si="7">SUM(H45:Y45)</f>
        <v>1</v>
      </c>
      <c r="AB45" s="19"/>
      <c r="AC45" s="19"/>
      <c r="AD45" s="19"/>
      <c r="AE45" s="19"/>
      <c r="AF45" s="19"/>
      <c r="AG45" s="19"/>
    </row>
    <row r="46" ht="14.25" customHeight="1">
      <c r="A46" s="13"/>
      <c r="B46" s="30">
        <v>16.0</v>
      </c>
      <c r="C46" s="55" t="s">
        <v>45</v>
      </c>
      <c r="D46" s="23"/>
      <c r="E46" s="23"/>
      <c r="F46" s="23"/>
      <c r="G46" s="35" t="s">
        <v>26</v>
      </c>
      <c r="H46" s="41"/>
      <c r="P46" s="42"/>
      <c r="Q46" s="37"/>
      <c r="R46" s="38">
        <v>1.0</v>
      </c>
      <c r="S46" s="39"/>
      <c r="T46" s="41"/>
      <c r="Y46" s="42"/>
      <c r="Z46" s="13"/>
      <c r="AA46" s="40">
        <f t="shared" si="7"/>
        <v>1</v>
      </c>
      <c r="AB46" s="19"/>
      <c r="AC46" s="19"/>
      <c r="AD46" s="19"/>
      <c r="AE46" s="19"/>
      <c r="AF46" s="19"/>
      <c r="AG46" s="19"/>
    </row>
    <row r="47" ht="14.25" customHeight="1">
      <c r="A47" s="13"/>
      <c r="B47" s="30">
        <v>17.0</v>
      </c>
      <c r="C47" s="55" t="s">
        <v>45</v>
      </c>
      <c r="D47" s="23"/>
      <c r="E47" s="23"/>
      <c r="F47" s="23"/>
      <c r="G47" s="35" t="s">
        <v>26</v>
      </c>
      <c r="H47" s="41"/>
      <c r="P47" s="42"/>
      <c r="Q47" s="37"/>
      <c r="R47" s="38"/>
      <c r="S47" s="39">
        <v>1.0</v>
      </c>
      <c r="T47" s="41"/>
      <c r="Y47" s="42"/>
      <c r="Z47" s="13"/>
      <c r="AA47" s="40">
        <f t="shared" si="7"/>
        <v>1</v>
      </c>
      <c r="AB47" s="19"/>
      <c r="AC47" s="19"/>
      <c r="AD47" s="19"/>
      <c r="AE47" s="19"/>
      <c r="AF47" s="19"/>
      <c r="AG47" s="19"/>
    </row>
    <row r="48" ht="14.25" customHeight="1">
      <c r="A48" s="13"/>
      <c r="B48" s="30">
        <v>18.0</v>
      </c>
      <c r="C48" s="55" t="s">
        <v>45</v>
      </c>
      <c r="D48" s="23"/>
      <c r="E48" s="23"/>
      <c r="F48" s="23"/>
      <c r="G48" s="35" t="s">
        <v>26</v>
      </c>
      <c r="H48" s="41"/>
      <c r="P48" s="42"/>
      <c r="Q48" s="37"/>
      <c r="R48" s="38">
        <v>1.0</v>
      </c>
      <c r="S48" s="39"/>
      <c r="T48" s="41"/>
      <c r="Y48" s="42"/>
      <c r="Z48" s="13"/>
      <c r="AA48" s="40">
        <f t="shared" si="7"/>
        <v>1</v>
      </c>
      <c r="AB48" s="19"/>
      <c r="AC48" s="19"/>
      <c r="AD48" s="19"/>
      <c r="AE48" s="19"/>
      <c r="AF48" s="19"/>
      <c r="AG48" s="19"/>
    </row>
    <row r="49" ht="14.25" customHeight="1">
      <c r="A49" s="13"/>
      <c r="B49" s="30">
        <v>19.0</v>
      </c>
      <c r="C49" s="55" t="s">
        <v>45</v>
      </c>
      <c r="D49" s="23"/>
      <c r="E49" s="23"/>
      <c r="F49" s="23"/>
      <c r="G49" s="35" t="s">
        <v>26</v>
      </c>
      <c r="H49" s="41"/>
      <c r="P49" s="42"/>
      <c r="Q49" s="61"/>
      <c r="R49" s="38">
        <v>1.0</v>
      </c>
      <c r="S49" s="63"/>
      <c r="T49" s="41"/>
      <c r="Y49" s="42"/>
      <c r="Z49" s="13"/>
      <c r="AA49" s="40">
        <f t="shared" si="7"/>
        <v>1</v>
      </c>
      <c r="AB49" s="19"/>
      <c r="AC49" s="19"/>
      <c r="AD49" s="19"/>
      <c r="AE49" s="19"/>
      <c r="AF49" s="19"/>
      <c r="AG49" s="19"/>
    </row>
    <row r="50" ht="14.25" customHeight="1">
      <c r="A50" s="13"/>
      <c r="B50" s="30">
        <v>20.0</v>
      </c>
      <c r="C50" s="55" t="s">
        <v>45</v>
      </c>
      <c r="D50" s="29"/>
      <c r="E50" s="29"/>
      <c r="F50" s="29"/>
      <c r="G50" s="35" t="s">
        <v>26</v>
      </c>
      <c r="H50" s="20"/>
      <c r="I50" s="21"/>
      <c r="J50" s="21"/>
      <c r="K50" s="21"/>
      <c r="L50" s="21"/>
      <c r="M50" s="21"/>
      <c r="N50" s="21"/>
      <c r="O50" s="21"/>
      <c r="P50" s="22"/>
      <c r="Q50" s="61"/>
      <c r="R50" s="38">
        <v>1.0</v>
      </c>
      <c r="S50" s="63"/>
      <c r="T50" s="20"/>
      <c r="U50" s="21"/>
      <c r="V50" s="21"/>
      <c r="W50" s="21"/>
      <c r="X50" s="21"/>
      <c r="Y50" s="22"/>
      <c r="Z50" s="13"/>
      <c r="AA50" s="40">
        <f t="shared" si="7"/>
        <v>1</v>
      </c>
      <c r="AB50" s="19"/>
      <c r="AC50" s="19"/>
      <c r="AD50" s="19"/>
      <c r="AE50" s="19"/>
      <c r="AF50" s="19"/>
      <c r="AG50" s="19"/>
    </row>
    <row r="51" ht="14.25" customHeight="1">
      <c r="A51" s="13"/>
      <c r="B51" s="47"/>
      <c r="C51" s="48" t="s">
        <v>30</v>
      </c>
      <c r="D51" s="49"/>
      <c r="E51" s="49"/>
      <c r="F51" s="49"/>
      <c r="G51" s="50"/>
      <c r="H51" s="47">
        <f t="shared" ref="H51:M51" si="8">SUM(H45:H49)</f>
        <v>0</v>
      </c>
      <c r="I51" s="47">
        <f t="shared" si="8"/>
        <v>0</v>
      </c>
      <c r="J51" s="47">
        <f t="shared" si="8"/>
        <v>0</v>
      </c>
      <c r="K51" s="47">
        <f t="shared" si="8"/>
        <v>0</v>
      </c>
      <c r="L51" s="47">
        <f t="shared" si="8"/>
        <v>0</v>
      </c>
      <c r="M51" s="47">
        <f t="shared" si="8"/>
        <v>0</v>
      </c>
      <c r="N51" s="51">
        <f t="shared" ref="N51:P51" si="9">SUM(N46:N50)</f>
        <v>0</v>
      </c>
      <c r="O51" s="51">
        <f t="shared" si="9"/>
        <v>0</v>
      </c>
      <c r="P51" s="51">
        <f t="shared" si="9"/>
        <v>0</v>
      </c>
      <c r="Q51" s="51">
        <f>SUM(Q45:Q50)</f>
        <v>1</v>
      </c>
      <c r="R51" s="51">
        <f t="shared" ref="R51:Y51" si="10">SUM(R46:R50)</f>
        <v>4</v>
      </c>
      <c r="S51" s="51">
        <f t="shared" si="10"/>
        <v>1</v>
      </c>
      <c r="T51" s="51">
        <f t="shared" si="10"/>
        <v>0</v>
      </c>
      <c r="U51" s="51">
        <f t="shared" si="10"/>
        <v>0</v>
      </c>
      <c r="V51" s="51">
        <f t="shared" si="10"/>
        <v>0</v>
      </c>
      <c r="W51" s="51">
        <f t="shared" si="10"/>
        <v>0</v>
      </c>
      <c r="X51" s="51">
        <f t="shared" si="10"/>
        <v>0</v>
      </c>
      <c r="Y51" s="51">
        <f t="shared" si="10"/>
        <v>0</v>
      </c>
      <c r="Z51" s="13"/>
      <c r="AA51" s="40">
        <f>SUM(AA45:AA50)</f>
        <v>6</v>
      </c>
      <c r="AB51" s="19"/>
      <c r="AC51" s="19"/>
      <c r="AD51" s="19"/>
      <c r="AE51" s="19"/>
      <c r="AF51" s="19"/>
      <c r="AG51" s="19"/>
    </row>
    <row r="52" ht="14.25" customHeight="1">
      <c r="A52" s="13"/>
      <c r="B52" s="13"/>
      <c r="C52" s="13"/>
      <c r="D52" s="52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9"/>
      <c r="AC52" s="19"/>
      <c r="AD52" s="19"/>
      <c r="AE52" s="19"/>
      <c r="AF52" s="19"/>
      <c r="AG52" s="19"/>
    </row>
    <row r="53" ht="14.25" customHeight="1">
      <c r="A53" s="13"/>
      <c r="B53" s="13"/>
      <c r="C53" s="13"/>
      <c r="D53" s="52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9"/>
      <c r="AC53" s="19"/>
      <c r="AD53" s="19"/>
      <c r="AE53" s="19"/>
      <c r="AF53" s="19"/>
      <c r="AG53" s="19"/>
    </row>
    <row r="54" ht="14.25" customHeight="1">
      <c r="A54" s="13"/>
      <c r="B54" s="13"/>
      <c r="C54" s="13"/>
      <c r="D54" s="52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9"/>
      <c r="AC54" s="19"/>
      <c r="AD54" s="19"/>
      <c r="AE54" s="19"/>
      <c r="AF54" s="19"/>
      <c r="AG54" s="19"/>
    </row>
    <row r="55" ht="40.5" customHeight="1">
      <c r="A55" s="13"/>
      <c r="B55" s="64"/>
      <c r="C55" s="49"/>
      <c r="D55" s="49"/>
      <c r="E55" s="49"/>
      <c r="F55" s="49"/>
      <c r="G55" s="50"/>
      <c r="H55" s="65" t="s">
        <v>4</v>
      </c>
      <c r="I55" s="49"/>
      <c r="J55" s="50"/>
      <c r="K55" s="65" t="s">
        <v>5</v>
      </c>
      <c r="L55" s="49"/>
      <c r="M55" s="50"/>
      <c r="N55" s="65" t="s">
        <v>6</v>
      </c>
      <c r="O55" s="49"/>
      <c r="P55" s="50"/>
      <c r="Q55" s="65" t="s">
        <v>31</v>
      </c>
      <c r="R55" s="49"/>
      <c r="S55" s="50"/>
      <c r="T55" s="65" t="s">
        <v>8</v>
      </c>
      <c r="U55" s="49"/>
      <c r="V55" s="49"/>
      <c r="W55" s="65" t="s">
        <v>9</v>
      </c>
      <c r="X55" s="49"/>
      <c r="Y55" s="50"/>
      <c r="Z55" s="13"/>
      <c r="AA55" s="54" t="s">
        <v>10</v>
      </c>
      <c r="AB55" s="19"/>
      <c r="AC55" s="19"/>
      <c r="AD55" s="19"/>
      <c r="AE55" s="19"/>
      <c r="AF55" s="19"/>
      <c r="AG55" s="19"/>
    </row>
    <row r="56" ht="14.25" customHeight="1">
      <c r="A56" s="13"/>
      <c r="B56" s="24"/>
      <c r="C56" s="25" t="s">
        <v>46</v>
      </c>
      <c r="D56" s="25" t="s">
        <v>12</v>
      </c>
      <c r="E56" s="25" t="s">
        <v>13</v>
      </c>
      <c r="F56" s="25" t="s">
        <v>14</v>
      </c>
      <c r="G56" s="25" t="s">
        <v>15</v>
      </c>
      <c r="H56" s="26" t="s">
        <v>16</v>
      </c>
      <c r="I56" s="27" t="s">
        <v>17</v>
      </c>
      <c r="J56" s="28" t="s">
        <v>18</v>
      </c>
      <c r="K56" s="26" t="s">
        <v>47</v>
      </c>
      <c r="L56" s="27" t="s">
        <v>17</v>
      </c>
      <c r="M56" s="28" t="s">
        <v>48</v>
      </c>
      <c r="N56" s="26" t="s">
        <v>16</v>
      </c>
      <c r="O56" s="27" t="s">
        <v>17</v>
      </c>
      <c r="P56" s="28" t="s">
        <v>48</v>
      </c>
      <c r="Q56" s="26" t="s">
        <v>16</v>
      </c>
      <c r="R56" s="27" t="s">
        <v>17</v>
      </c>
      <c r="S56" s="28" t="s">
        <v>18</v>
      </c>
      <c r="T56" s="26" t="s">
        <v>16</v>
      </c>
      <c r="U56" s="27" t="s">
        <v>17</v>
      </c>
      <c r="V56" s="28" t="s">
        <v>18</v>
      </c>
      <c r="W56" s="26" t="s">
        <v>16</v>
      </c>
      <c r="X56" s="27" t="s">
        <v>17</v>
      </c>
      <c r="Y56" s="28" t="s">
        <v>18</v>
      </c>
      <c r="Z56" s="13"/>
      <c r="AA56" s="29"/>
      <c r="AB56" s="19"/>
      <c r="AC56" s="19"/>
      <c r="AD56" s="19"/>
      <c r="AE56" s="19"/>
      <c r="AF56" s="19"/>
      <c r="AG56" s="19"/>
    </row>
    <row r="57" ht="14.25" customHeight="1">
      <c r="A57" s="13"/>
      <c r="B57" s="30">
        <v>21.0</v>
      </c>
      <c r="C57" s="55" t="s">
        <v>49</v>
      </c>
      <c r="D57" s="56" t="s">
        <v>23</v>
      </c>
      <c r="E57" s="45" t="s">
        <v>50</v>
      </c>
      <c r="F57" s="67">
        <v>4.3</v>
      </c>
      <c r="G57" s="68" t="s">
        <v>51</v>
      </c>
      <c r="H57" s="36"/>
      <c r="I57" s="15"/>
      <c r="J57" s="15"/>
      <c r="K57" s="15"/>
      <c r="L57" s="15"/>
      <c r="M57" s="16"/>
      <c r="N57" s="37"/>
      <c r="O57" s="38">
        <v>1.0</v>
      </c>
      <c r="P57" s="39"/>
      <c r="Q57" s="17"/>
      <c r="R57" s="15"/>
      <c r="S57" s="15"/>
      <c r="T57" s="15"/>
      <c r="U57" s="15"/>
      <c r="V57" s="15"/>
      <c r="W57" s="15"/>
      <c r="X57" s="15"/>
      <c r="Y57" s="16"/>
      <c r="Z57" s="13"/>
      <c r="AA57" s="40">
        <f t="shared" ref="AA57:AA61" si="11">SUM(H57:Y57)</f>
        <v>1</v>
      </c>
      <c r="AB57" s="19"/>
      <c r="AC57" s="19"/>
      <c r="AD57" s="19"/>
      <c r="AE57" s="19"/>
      <c r="AF57" s="19"/>
      <c r="AG57" s="19"/>
    </row>
    <row r="58" ht="14.25" customHeight="1">
      <c r="A58" s="13"/>
      <c r="B58" s="30">
        <v>22.0</v>
      </c>
      <c r="C58" s="55" t="s">
        <v>49</v>
      </c>
      <c r="D58" s="23"/>
      <c r="E58" s="23"/>
      <c r="F58" s="23"/>
      <c r="G58" s="23"/>
      <c r="H58" s="41"/>
      <c r="M58" s="42"/>
      <c r="N58" s="37"/>
      <c r="O58" s="38">
        <v>1.0</v>
      </c>
      <c r="P58" s="39"/>
      <c r="Q58" s="41"/>
      <c r="Y58" s="42"/>
      <c r="Z58" s="13"/>
      <c r="AA58" s="40">
        <f t="shared" si="11"/>
        <v>1</v>
      </c>
      <c r="AB58" s="19"/>
      <c r="AC58" s="19"/>
      <c r="AD58" s="19"/>
      <c r="AE58" s="19"/>
      <c r="AF58" s="19"/>
      <c r="AG58" s="19"/>
    </row>
    <row r="59" ht="14.25" customHeight="1">
      <c r="A59" s="13"/>
      <c r="B59" s="30">
        <v>23.0</v>
      </c>
      <c r="C59" s="55" t="s">
        <v>49</v>
      </c>
      <c r="D59" s="23"/>
      <c r="E59" s="23"/>
      <c r="F59" s="23"/>
      <c r="G59" s="23"/>
      <c r="H59" s="41"/>
      <c r="M59" s="42"/>
      <c r="N59" s="37"/>
      <c r="O59" s="38">
        <v>1.0</v>
      </c>
      <c r="P59" s="39"/>
      <c r="Q59" s="41"/>
      <c r="Y59" s="42"/>
      <c r="Z59" s="13"/>
      <c r="AA59" s="40">
        <f t="shared" si="11"/>
        <v>1</v>
      </c>
      <c r="AB59" s="19"/>
      <c r="AC59" s="19"/>
      <c r="AD59" s="19"/>
      <c r="AE59" s="19"/>
      <c r="AF59" s="19"/>
      <c r="AG59" s="19"/>
    </row>
    <row r="60" ht="14.25" customHeight="1">
      <c r="A60" s="13"/>
      <c r="B60" s="30">
        <v>24.0</v>
      </c>
      <c r="C60" s="55" t="s">
        <v>49</v>
      </c>
      <c r="D60" s="23"/>
      <c r="E60" s="23"/>
      <c r="F60" s="23"/>
      <c r="G60" s="23"/>
      <c r="H60" s="41"/>
      <c r="M60" s="42"/>
      <c r="N60" s="37"/>
      <c r="O60" s="38">
        <v>1.0</v>
      </c>
      <c r="P60" s="39"/>
      <c r="Q60" s="41"/>
      <c r="Y60" s="42"/>
      <c r="Z60" s="13"/>
      <c r="AA60" s="40">
        <f t="shared" si="11"/>
        <v>1</v>
      </c>
      <c r="AB60" s="19"/>
      <c r="AC60" s="19"/>
      <c r="AD60" s="19"/>
      <c r="AE60" s="19"/>
      <c r="AF60" s="19"/>
      <c r="AG60" s="19"/>
    </row>
    <row r="61" ht="14.25" customHeight="1">
      <c r="A61" s="13"/>
      <c r="B61" s="30">
        <v>25.0</v>
      </c>
      <c r="C61" s="55" t="s">
        <v>49</v>
      </c>
      <c r="D61" s="29"/>
      <c r="E61" s="29"/>
      <c r="F61" s="29"/>
      <c r="G61" s="29"/>
      <c r="H61" s="20"/>
      <c r="I61" s="21"/>
      <c r="J61" s="21"/>
      <c r="K61" s="21"/>
      <c r="L61" s="21"/>
      <c r="M61" s="22"/>
      <c r="N61" s="61"/>
      <c r="O61" s="69">
        <v>1.0</v>
      </c>
      <c r="P61" s="63"/>
      <c r="Q61" s="20"/>
      <c r="R61" s="21"/>
      <c r="S61" s="21"/>
      <c r="T61" s="21"/>
      <c r="U61" s="21"/>
      <c r="V61" s="21"/>
      <c r="W61" s="21"/>
      <c r="X61" s="21"/>
      <c r="Y61" s="22"/>
      <c r="Z61" s="13"/>
      <c r="AA61" s="40">
        <f t="shared" si="11"/>
        <v>1</v>
      </c>
      <c r="AB61" s="19"/>
      <c r="AC61" s="19"/>
      <c r="AD61" s="19"/>
      <c r="AE61" s="19"/>
      <c r="AF61" s="19"/>
      <c r="AG61" s="19"/>
    </row>
    <row r="62" ht="14.25" customHeight="1">
      <c r="A62" s="13"/>
      <c r="B62" s="47"/>
      <c r="C62" s="48" t="s">
        <v>30</v>
      </c>
      <c r="D62" s="49"/>
      <c r="E62" s="49"/>
      <c r="F62" s="49"/>
      <c r="G62" s="50"/>
      <c r="H62" s="51">
        <f t="shared" ref="H62:Y62" si="12">SUM(H57:H61)</f>
        <v>0</v>
      </c>
      <c r="I62" s="51">
        <f t="shared" si="12"/>
        <v>0</v>
      </c>
      <c r="J62" s="51">
        <f t="shared" si="12"/>
        <v>0</v>
      </c>
      <c r="K62" s="51">
        <f t="shared" si="12"/>
        <v>0</v>
      </c>
      <c r="L62" s="51">
        <f t="shared" si="12"/>
        <v>0</v>
      </c>
      <c r="M62" s="51">
        <f t="shared" si="12"/>
        <v>0</v>
      </c>
      <c r="N62" s="51">
        <f t="shared" si="12"/>
        <v>0</v>
      </c>
      <c r="O62" s="51">
        <f t="shared" si="12"/>
        <v>5</v>
      </c>
      <c r="P62" s="51">
        <f t="shared" si="12"/>
        <v>0</v>
      </c>
      <c r="Q62" s="51">
        <f t="shared" si="12"/>
        <v>0</v>
      </c>
      <c r="R62" s="51">
        <f t="shared" si="12"/>
        <v>0</v>
      </c>
      <c r="S62" s="51">
        <f t="shared" si="12"/>
        <v>0</v>
      </c>
      <c r="T62" s="51">
        <f t="shared" si="12"/>
        <v>0</v>
      </c>
      <c r="U62" s="51">
        <f t="shared" si="12"/>
        <v>0</v>
      </c>
      <c r="V62" s="51">
        <f t="shared" si="12"/>
        <v>0</v>
      </c>
      <c r="W62" s="51">
        <f t="shared" si="12"/>
        <v>0</v>
      </c>
      <c r="X62" s="70">
        <f t="shared" si="12"/>
        <v>0</v>
      </c>
      <c r="Y62" s="70">
        <f t="shared" si="12"/>
        <v>0</v>
      </c>
      <c r="Z62" s="13"/>
      <c r="AA62" s="40">
        <f>SUM(AA57:AA61)</f>
        <v>5</v>
      </c>
      <c r="AB62" s="19"/>
      <c r="AC62" s="19"/>
      <c r="AD62" s="19"/>
      <c r="AE62" s="19"/>
      <c r="AF62" s="19"/>
      <c r="AG62" s="19"/>
    </row>
    <row r="63" ht="14.25" customHeight="1">
      <c r="A63" s="13"/>
      <c r="B63" s="13"/>
      <c r="C63" s="13"/>
      <c r="D63" s="52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9"/>
      <c r="AC63" s="19"/>
      <c r="AD63" s="19"/>
      <c r="AE63" s="19"/>
      <c r="AF63" s="19"/>
      <c r="AG63" s="19"/>
    </row>
    <row r="64" ht="14.25" customHeight="1">
      <c r="A64" s="13"/>
      <c r="B64" s="13"/>
      <c r="C64" s="13"/>
      <c r="D64" s="5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9"/>
      <c r="AC64" s="19"/>
      <c r="AD64" s="19"/>
      <c r="AE64" s="19"/>
      <c r="AF64" s="19"/>
      <c r="AG64" s="19"/>
    </row>
    <row r="65" ht="68.25" customHeight="1">
      <c r="A65" s="13"/>
      <c r="B65" s="13"/>
      <c r="C65" s="71" t="s">
        <v>52</v>
      </c>
      <c r="D65" s="72"/>
      <c r="E65" s="26" t="s">
        <v>16</v>
      </c>
      <c r="F65" s="73" t="s">
        <v>17</v>
      </c>
      <c r="G65" s="74" t="s">
        <v>18</v>
      </c>
      <c r="H65" s="75"/>
      <c r="J65" s="76" t="s">
        <v>53</v>
      </c>
      <c r="K65" s="77"/>
      <c r="L65" s="78"/>
      <c r="M65" s="79" t="s">
        <v>54</v>
      </c>
      <c r="N65" s="80"/>
      <c r="O65" s="80"/>
      <c r="P65" s="80"/>
      <c r="Q65" s="80"/>
      <c r="R65" s="72"/>
      <c r="S65" s="79" t="s">
        <v>55</v>
      </c>
      <c r="T65" s="80"/>
      <c r="U65" s="80"/>
      <c r="V65" s="80"/>
      <c r="W65" s="80"/>
      <c r="X65" s="80"/>
      <c r="Y65" s="80"/>
      <c r="Z65" s="80"/>
      <c r="AA65" s="72"/>
      <c r="AB65" s="81"/>
      <c r="AC65" s="19"/>
      <c r="AD65" s="19"/>
      <c r="AE65" s="19"/>
      <c r="AF65" s="19"/>
      <c r="AG65" s="19"/>
    </row>
    <row r="66" ht="21.75" customHeight="1">
      <c r="A66" s="13"/>
      <c r="B66" s="13"/>
      <c r="C66" s="71" t="s">
        <v>56</v>
      </c>
      <c r="D66" s="72"/>
      <c r="E66" s="82">
        <f>SUM(K16,N27,K39,Q51,N62)</f>
        <v>3</v>
      </c>
      <c r="F66" s="83">
        <f>SUM(L16,O27,L39,R51,O62,)</f>
        <v>18</v>
      </c>
      <c r="G66" s="82">
        <f>SUM(M16,P27,M39,S51,P62,Y86,Y100,)</f>
        <v>6</v>
      </c>
      <c r="H66" s="13"/>
      <c r="J66" s="84"/>
      <c r="L66" s="85"/>
      <c r="M66" s="79" t="s">
        <v>57</v>
      </c>
      <c r="N66" s="80"/>
      <c r="O66" s="72"/>
      <c r="P66" s="86"/>
      <c r="Q66" s="86" t="s">
        <v>58</v>
      </c>
      <c r="R66" s="86"/>
      <c r="S66" s="79" t="s">
        <v>59</v>
      </c>
      <c r="T66" s="72"/>
      <c r="U66" s="86"/>
      <c r="V66" s="86" t="s">
        <v>31</v>
      </c>
      <c r="W66" s="86"/>
      <c r="X66" s="79" t="s">
        <v>60</v>
      </c>
      <c r="Y66" s="80"/>
      <c r="Z66" s="72"/>
      <c r="AA66" s="87" t="s">
        <v>61</v>
      </c>
      <c r="AB66" s="88"/>
      <c r="AC66" s="19"/>
      <c r="AD66" s="19"/>
      <c r="AE66" s="19"/>
      <c r="AF66" s="19"/>
      <c r="AG66" s="88"/>
    </row>
    <row r="67" ht="14.25" customHeight="1">
      <c r="A67" s="13"/>
      <c r="B67" s="13"/>
      <c r="C67" s="13"/>
      <c r="D67" s="52"/>
      <c r="E67" s="13"/>
      <c r="F67" s="13"/>
      <c r="G67" s="13"/>
      <c r="H67" s="13"/>
      <c r="I67" s="13"/>
      <c r="J67" s="84"/>
      <c r="L67" s="85"/>
      <c r="M67" s="79">
        <v>0.0</v>
      </c>
      <c r="N67" s="80"/>
      <c r="O67" s="72"/>
      <c r="P67" s="79" t="s">
        <v>62</v>
      </c>
      <c r="Q67" s="80"/>
      <c r="R67" s="72"/>
      <c r="S67" s="79" t="s">
        <v>63</v>
      </c>
      <c r="T67" s="72"/>
      <c r="U67" s="86"/>
      <c r="V67" s="86" t="s">
        <v>64</v>
      </c>
      <c r="W67" s="86"/>
      <c r="X67" s="79">
        <v>0.0</v>
      </c>
      <c r="Y67" s="80"/>
      <c r="Z67" s="72"/>
      <c r="AA67" s="86" t="s">
        <v>65</v>
      </c>
      <c r="AB67" s="81"/>
      <c r="AC67" s="19"/>
      <c r="AD67" s="19"/>
      <c r="AE67" s="19"/>
      <c r="AF67" s="19"/>
      <c r="AG67" s="19"/>
    </row>
    <row r="68" ht="14.25" customHeight="1">
      <c r="A68" s="13"/>
      <c r="B68" s="13"/>
      <c r="C68" s="13"/>
      <c r="D68" s="52"/>
      <c r="E68" s="13"/>
      <c r="F68" s="13"/>
      <c r="G68" s="13"/>
      <c r="H68" s="13"/>
      <c r="I68" s="13"/>
      <c r="J68" s="89"/>
      <c r="K68" s="90"/>
      <c r="L68" s="91"/>
      <c r="M68" s="79" t="s">
        <v>66</v>
      </c>
      <c r="N68" s="80"/>
      <c r="O68" s="72"/>
      <c r="P68" s="86"/>
      <c r="Q68" s="92" t="s">
        <v>67</v>
      </c>
      <c r="R68" s="92"/>
      <c r="S68" s="93" t="s">
        <v>68</v>
      </c>
      <c r="T68" s="72"/>
      <c r="U68" s="93" t="s">
        <v>69</v>
      </c>
      <c r="V68" s="80"/>
      <c r="W68" s="72"/>
      <c r="X68" s="79">
        <v>0.0</v>
      </c>
      <c r="Y68" s="80"/>
      <c r="Z68" s="72"/>
      <c r="AA68" s="94" t="s">
        <v>70</v>
      </c>
      <c r="AB68" s="95"/>
      <c r="AC68" s="19"/>
      <c r="AD68" s="19"/>
      <c r="AE68" s="19"/>
      <c r="AF68" s="19"/>
      <c r="AG68" s="19"/>
    </row>
    <row r="69" ht="14.25" customHeight="1">
      <c r="A69" s="13"/>
      <c r="B69" s="13"/>
      <c r="C69" s="13"/>
      <c r="D69" s="52"/>
      <c r="E69" s="13"/>
      <c r="F69" s="13"/>
      <c r="G69" s="13"/>
      <c r="H69" s="13"/>
      <c r="I69" s="13"/>
      <c r="J69" s="96"/>
      <c r="K69" s="86" t="s">
        <v>71</v>
      </c>
      <c r="L69" s="86"/>
      <c r="M69" s="79" t="s">
        <v>72</v>
      </c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72"/>
      <c r="AB69" s="81"/>
      <c r="AC69" s="19"/>
      <c r="AD69" s="19"/>
      <c r="AE69" s="19"/>
      <c r="AF69" s="19"/>
      <c r="AG69" s="19"/>
    </row>
    <row r="70" ht="14.25" customHeight="1">
      <c r="A70" s="13"/>
      <c r="B70" s="13"/>
      <c r="C70" s="13"/>
      <c r="D70" s="52"/>
      <c r="E70" s="13"/>
      <c r="F70" s="13"/>
      <c r="G70" s="13"/>
      <c r="H70" s="13"/>
      <c r="I70" s="13"/>
      <c r="J70" s="93" t="s">
        <v>73</v>
      </c>
      <c r="K70" s="80"/>
      <c r="L70" s="72"/>
      <c r="M70" s="93">
        <v>20.0</v>
      </c>
      <c r="N70" s="80"/>
      <c r="O70" s="80"/>
      <c r="P70" s="80"/>
      <c r="Q70" s="80"/>
      <c r="R70" s="72"/>
      <c r="S70" s="93">
        <v>80.0</v>
      </c>
      <c r="T70" s="80"/>
      <c r="U70" s="80"/>
      <c r="V70" s="80"/>
      <c r="W70" s="80"/>
      <c r="X70" s="80"/>
      <c r="Y70" s="80"/>
      <c r="Z70" s="80"/>
      <c r="AA70" s="72"/>
      <c r="AB70" s="19"/>
      <c r="AC70" s="19"/>
      <c r="AD70" s="19"/>
      <c r="AE70" s="52"/>
      <c r="AF70" s="19"/>
      <c r="AG70" s="19"/>
    </row>
    <row r="71" ht="14.25" customHeight="1">
      <c r="A71" s="13"/>
      <c r="B71" s="13"/>
      <c r="C71" s="13"/>
      <c r="D71" s="5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9"/>
      <c r="AC71" s="19"/>
      <c r="AD71" s="19"/>
      <c r="AE71" s="19"/>
      <c r="AF71" s="19"/>
      <c r="AG71" s="19"/>
    </row>
    <row r="72" ht="14.25" customHeight="1">
      <c r="A72" s="13"/>
      <c r="B72" s="13"/>
      <c r="C72" s="13"/>
      <c r="D72" s="5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9"/>
      <c r="AC72" s="19"/>
      <c r="AD72" s="19"/>
      <c r="AE72" s="19"/>
      <c r="AF72" s="19"/>
      <c r="AG72" s="19"/>
    </row>
    <row r="73" ht="14.25" customHeight="1">
      <c r="A73" s="13"/>
      <c r="B73" s="13"/>
      <c r="C73" s="13"/>
      <c r="D73" s="5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9"/>
      <c r="AC73" s="19"/>
      <c r="AD73" s="19"/>
      <c r="AE73" s="19"/>
      <c r="AF73" s="19"/>
      <c r="AG73" s="19"/>
    </row>
    <row r="74" ht="14.25" customHeight="1">
      <c r="A74" s="13"/>
      <c r="B74" s="64"/>
      <c r="C74" s="49"/>
      <c r="D74" s="49"/>
      <c r="E74" s="49"/>
      <c r="F74" s="49"/>
      <c r="G74" s="50"/>
      <c r="H74" s="65" t="s">
        <v>4</v>
      </c>
      <c r="I74" s="49"/>
      <c r="J74" s="50"/>
      <c r="K74" s="65" t="s">
        <v>5</v>
      </c>
      <c r="L74" s="49"/>
      <c r="M74" s="50"/>
      <c r="N74" s="65" t="s">
        <v>6</v>
      </c>
      <c r="O74" s="49"/>
      <c r="P74" s="50"/>
      <c r="Q74" s="65" t="s">
        <v>31</v>
      </c>
      <c r="R74" s="49"/>
      <c r="S74" s="50"/>
      <c r="T74" s="65" t="s">
        <v>8</v>
      </c>
      <c r="U74" s="49"/>
      <c r="V74" s="49"/>
      <c r="W74" s="65" t="s">
        <v>9</v>
      </c>
      <c r="X74" s="49"/>
      <c r="Y74" s="50"/>
      <c r="Z74" s="13"/>
      <c r="AA74" s="54" t="s">
        <v>10</v>
      </c>
      <c r="AB74" s="19"/>
      <c r="AC74" s="19"/>
      <c r="AD74" s="19"/>
      <c r="AE74" s="19"/>
      <c r="AF74" s="19"/>
      <c r="AG74" s="19"/>
    </row>
    <row r="75" ht="48.75" customHeight="1">
      <c r="A75" s="13"/>
      <c r="B75" s="24"/>
      <c r="C75" s="25" t="s">
        <v>74</v>
      </c>
      <c r="D75" s="25" t="s">
        <v>12</v>
      </c>
      <c r="E75" s="25" t="s">
        <v>75</v>
      </c>
      <c r="F75" s="25" t="s">
        <v>14</v>
      </c>
      <c r="G75" s="97" t="s">
        <v>15</v>
      </c>
      <c r="H75" s="26" t="s">
        <v>16</v>
      </c>
      <c r="I75" s="27" t="s">
        <v>17</v>
      </c>
      <c r="J75" s="28" t="s">
        <v>18</v>
      </c>
      <c r="K75" s="26" t="s">
        <v>16</v>
      </c>
      <c r="L75" s="27" t="s">
        <v>17</v>
      </c>
      <c r="M75" s="28" t="s">
        <v>18</v>
      </c>
      <c r="N75" s="26" t="s">
        <v>16</v>
      </c>
      <c r="O75" s="27" t="s">
        <v>17</v>
      </c>
      <c r="P75" s="28" t="s">
        <v>18</v>
      </c>
      <c r="Q75" s="26" t="s">
        <v>16</v>
      </c>
      <c r="R75" s="27" t="s">
        <v>17</v>
      </c>
      <c r="S75" s="28" t="s">
        <v>18</v>
      </c>
      <c r="T75" s="26" t="s">
        <v>16</v>
      </c>
      <c r="U75" s="27" t="s">
        <v>17</v>
      </c>
      <c r="V75" s="28" t="s">
        <v>18</v>
      </c>
      <c r="W75" s="26" t="s">
        <v>16</v>
      </c>
      <c r="X75" s="27" t="s">
        <v>17</v>
      </c>
      <c r="Y75" s="28" t="s">
        <v>18</v>
      </c>
      <c r="Z75" s="13"/>
      <c r="AA75" s="29"/>
      <c r="AB75" s="19"/>
      <c r="AC75" s="19"/>
      <c r="AD75" s="19"/>
      <c r="AE75" s="19"/>
      <c r="AF75" s="19"/>
      <c r="AG75" s="19"/>
    </row>
    <row r="76" ht="14.25" customHeight="1">
      <c r="A76" s="13"/>
      <c r="B76" s="98">
        <v>26.0</v>
      </c>
      <c r="C76" s="99" t="s">
        <v>76</v>
      </c>
      <c r="D76" s="56" t="s">
        <v>20</v>
      </c>
      <c r="E76" s="45" t="s">
        <v>50</v>
      </c>
      <c r="F76" s="45">
        <v>4.2</v>
      </c>
      <c r="G76" s="35" t="s">
        <v>77</v>
      </c>
      <c r="H76" s="36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6"/>
      <c r="W76" s="100"/>
      <c r="X76" s="101"/>
      <c r="Y76" s="102">
        <v>1.0</v>
      </c>
      <c r="Z76" s="13"/>
      <c r="AA76" s="103">
        <f>SUM(H76:Y76)</f>
        <v>1</v>
      </c>
      <c r="AB76" s="19"/>
      <c r="AC76" s="19"/>
      <c r="AD76" s="19"/>
      <c r="AE76" s="19"/>
      <c r="AF76" s="19"/>
      <c r="AG76" s="19"/>
    </row>
    <row r="77" ht="14.25" customHeight="1">
      <c r="A77" s="13"/>
      <c r="B77" s="23"/>
      <c r="C77" s="23"/>
      <c r="D77" s="23"/>
      <c r="E77" s="23"/>
      <c r="F77" s="23"/>
      <c r="G77" s="68" t="s">
        <v>78</v>
      </c>
      <c r="H77" s="41"/>
      <c r="V77" s="42"/>
      <c r="W77" s="23"/>
      <c r="X77" s="23"/>
      <c r="Y77" s="23"/>
      <c r="Z77" s="13"/>
      <c r="AA77" s="23"/>
      <c r="AB77" s="19"/>
      <c r="AC77" s="19"/>
      <c r="AD77" s="19"/>
      <c r="AE77" s="19"/>
      <c r="AF77" s="19"/>
      <c r="AG77" s="19"/>
    </row>
    <row r="78" ht="14.25" customHeight="1">
      <c r="A78" s="13"/>
      <c r="B78" s="23"/>
      <c r="C78" s="23"/>
      <c r="D78" s="23"/>
      <c r="E78" s="23"/>
      <c r="F78" s="23"/>
      <c r="G78" s="29"/>
      <c r="H78" s="41"/>
      <c r="V78" s="42"/>
      <c r="W78" s="23"/>
      <c r="X78" s="23"/>
      <c r="Y78" s="23"/>
      <c r="Z78" s="13"/>
      <c r="AA78" s="23"/>
      <c r="AB78" s="19"/>
      <c r="AC78" s="19"/>
      <c r="AD78" s="19"/>
      <c r="AE78" s="19"/>
      <c r="AF78" s="19"/>
      <c r="AG78" s="19"/>
    </row>
    <row r="79" ht="14.25" customHeight="1">
      <c r="A79" s="13"/>
      <c r="B79" s="23"/>
      <c r="C79" s="23"/>
      <c r="D79" s="23"/>
      <c r="E79" s="23"/>
      <c r="F79" s="23"/>
      <c r="G79" s="68" t="s">
        <v>79</v>
      </c>
      <c r="H79" s="41"/>
      <c r="V79" s="42"/>
      <c r="W79" s="23"/>
      <c r="X79" s="23"/>
      <c r="Y79" s="23"/>
      <c r="Z79" s="13"/>
      <c r="AA79" s="23"/>
      <c r="AB79" s="19"/>
      <c r="AC79" s="19"/>
      <c r="AD79" s="19"/>
      <c r="AE79" s="19"/>
      <c r="AF79" s="19"/>
      <c r="AG79" s="19"/>
    </row>
    <row r="80" ht="14.25" customHeight="1">
      <c r="A80" s="13"/>
      <c r="B80" s="23"/>
      <c r="C80" s="23"/>
      <c r="D80" s="23"/>
      <c r="E80" s="23"/>
      <c r="F80" s="23"/>
      <c r="G80" s="23"/>
      <c r="H80" s="41"/>
      <c r="V80" s="42"/>
      <c r="W80" s="23"/>
      <c r="X80" s="23"/>
      <c r="Y80" s="23"/>
      <c r="Z80" s="13"/>
      <c r="AA80" s="23"/>
      <c r="AB80" s="19"/>
      <c r="AC80" s="19"/>
      <c r="AD80" s="19"/>
      <c r="AE80" s="19"/>
      <c r="AF80" s="19"/>
      <c r="AG80" s="19"/>
    </row>
    <row r="81" ht="14.25" customHeight="1">
      <c r="A81" s="13"/>
      <c r="B81" s="23"/>
      <c r="C81" s="23"/>
      <c r="D81" s="23"/>
      <c r="E81" s="23"/>
      <c r="F81" s="23"/>
      <c r="G81" s="23"/>
      <c r="H81" s="41"/>
      <c r="V81" s="42"/>
      <c r="W81" s="23"/>
      <c r="X81" s="23"/>
      <c r="Y81" s="23"/>
      <c r="Z81" s="13"/>
      <c r="AA81" s="23"/>
      <c r="AB81" s="19"/>
      <c r="AC81" s="19"/>
      <c r="AD81" s="19"/>
      <c r="AE81" s="19"/>
      <c r="AF81" s="19"/>
      <c r="AG81" s="19"/>
    </row>
    <row r="82" ht="14.25" customHeight="1">
      <c r="A82" s="13"/>
      <c r="B82" s="23"/>
      <c r="C82" s="23"/>
      <c r="D82" s="23"/>
      <c r="E82" s="23"/>
      <c r="F82" s="29"/>
      <c r="G82" s="29"/>
      <c r="H82" s="41"/>
      <c r="V82" s="42"/>
      <c r="W82" s="23"/>
      <c r="X82" s="23"/>
      <c r="Y82" s="23"/>
      <c r="Z82" s="13"/>
      <c r="AA82" s="23"/>
      <c r="AB82" s="19"/>
      <c r="AC82" s="19"/>
      <c r="AD82" s="19"/>
      <c r="AE82" s="19"/>
      <c r="AF82" s="19"/>
      <c r="AG82" s="19"/>
    </row>
    <row r="83" ht="14.25" customHeight="1">
      <c r="A83" s="13"/>
      <c r="B83" s="23"/>
      <c r="C83" s="23"/>
      <c r="D83" s="23"/>
      <c r="E83" s="23"/>
      <c r="F83" s="36">
        <v>4.3</v>
      </c>
      <c r="G83" s="35" t="s">
        <v>80</v>
      </c>
      <c r="H83" s="41"/>
      <c r="V83" s="42"/>
      <c r="W83" s="23"/>
      <c r="X83" s="23"/>
      <c r="Y83" s="23"/>
      <c r="Z83" s="13"/>
      <c r="AA83" s="23"/>
      <c r="AB83" s="19"/>
      <c r="AC83" s="19"/>
      <c r="AD83" s="19"/>
      <c r="AE83" s="19"/>
      <c r="AF83" s="19"/>
      <c r="AG83" s="19"/>
    </row>
    <row r="84" ht="14.25" customHeight="1">
      <c r="A84" s="13"/>
      <c r="B84" s="23"/>
      <c r="C84" s="23"/>
      <c r="D84" s="23"/>
      <c r="E84" s="23"/>
      <c r="F84" s="41"/>
      <c r="G84" s="68" t="s">
        <v>51</v>
      </c>
      <c r="H84" s="20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2"/>
      <c r="W84" s="29"/>
      <c r="X84" s="29"/>
      <c r="Y84" s="29"/>
      <c r="Z84" s="13"/>
      <c r="AA84" s="29"/>
      <c r="AB84" s="19"/>
      <c r="AC84" s="19"/>
      <c r="AD84" s="19"/>
      <c r="AE84" s="19"/>
      <c r="AF84" s="19"/>
      <c r="AG84" s="19"/>
    </row>
    <row r="85" ht="14.25" customHeight="1">
      <c r="A85" s="13"/>
      <c r="B85" s="29"/>
      <c r="C85" s="29"/>
      <c r="D85" s="29"/>
      <c r="E85" s="29"/>
      <c r="F85" s="20"/>
      <c r="G85" s="29"/>
      <c r="H85" s="104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6"/>
      <c r="X85" s="106"/>
      <c r="Y85" s="106"/>
      <c r="Z85" s="13"/>
      <c r="AA85" s="107"/>
      <c r="AB85" s="19"/>
      <c r="AC85" s="19"/>
      <c r="AD85" s="19"/>
      <c r="AE85" s="19"/>
      <c r="AF85" s="19"/>
      <c r="AG85" s="19"/>
    </row>
    <row r="86" ht="14.25" customHeight="1">
      <c r="A86" s="13"/>
      <c r="B86" s="47"/>
      <c r="C86" s="48" t="s">
        <v>30</v>
      </c>
      <c r="D86" s="49"/>
      <c r="E86" s="49"/>
      <c r="F86" s="49"/>
      <c r="G86" s="50"/>
      <c r="H86" s="51">
        <f t="shared" ref="H86:X86" si="13">SUM(H81:H85)</f>
        <v>0</v>
      </c>
      <c r="I86" s="51">
        <f t="shared" si="13"/>
        <v>0</v>
      </c>
      <c r="J86" s="51">
        <f t="shared" si="13"/>
        <v>0</v>
      </c>
      <c r="K86" s="51">
        <f t="shared" si="13"/>
        <v>0</v>
      </c>
      <c r="L86" s="51">
        <f t="shared" si="13"/>
        <v>0</v>
      </c>
      <c r="M86" s="51">
        <f t="shared" si="13"/>
        <v>0</v>
      </c>
      <c r="N86" s="51">
        <f t="shared" si="13"/>
        <v>0</v>
      </c>
      <c r="O86" s="51">
        <f t="shared" si="13"/>
        <v>0</v>
      </c>
      <c r="P86" s="51">
        <f t="shared" si="13"/>
        <v>0</v>
      </c>
      <c r="Q86" s="51">
        <f t="shared" si="13"/>
        <v>0</v>
      </c>
      <c r="R86" s="51">
        <f t="shared" si="13"/>
        <v>0</v>
      </c>
      <c r="S86" s="51">
        <f t="shared" si="13"/>
        <v>0</v>
      </c>
      <c r="T86" s="51">
        <f t="shared" si="13"/>
        <v>0</v>
      </c>
      <c r="U86" s="70">
        <f t="shared" si="13"/>
        <v>0</v>
      </c>
      <c r="V86" s="70">
        <f t="shared" si="13"/>
        <v>0</v>
      </c>
      <c r="W86" s="70">
        <f t="shared" si="13"/>
        <v>0</v>
      </c>
      <c r="X86" s="70">
        <f t="shared" si="13"/>
        <v>0</v>
      </c>
      <c r="Y86" s="70">
        <f>SUM(Y76:Y84)</f>
        <v>1</v>
      </c>
      <c r="Z86" s="13"/>
      <c r="AA86" s="40">
        <f>SUM(AA76:AA84)</f>
        <v>1</v>
      </c>
      <c r="AB86" s="19"/>
      <c r="AC86" s="19"/>
      <c r="AD86" s="19"/>
      <c r="AE86" s="19"/>
      <c r="AF86" s="19"/>
      <c r="AG86" s="19"/>
    </row>
    <row r="87" ht="14.25" customHeight="1">
      <c r="A87" s="13"/>
      <c r="B87" s="13"/>
      <c r="C87" s="13"/>
      <c r="D87" s="52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9"/>
      <c r="AC87" s="19"/>
      <c r="AD87" s="19"/>
      <c r="AE87" s="19"/>
      <c r="AF87" s="19"/>
      <c r="AG87" s="19"/>
    </row>
    <row r="88" ht="14.25" customHeight="1">
      <c r="A88" s="13"/>
      <c r="B88" s="13"/>
      <c r="C88" s="13"/>
      <c r="D88" s="52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9"/>
      <c r="AC88" s="19"/>
      <c r="AD88" s="19"/>
      <c r="AE88" s="19"/>
      <c r="AF88" s="19"/>
      <c r="AG88" s="19"/>
    </row>
    <row r="89" ht="14.25" customHeight="1">
      <c r="A89" s="13"/>
      <c r="B89" s="13"/>
      <c r="C89" s="13"/>
      <c r="D89" s="52"/>
      <c r="E89" s="13"/>
      <c r="F89" s="13"/>
      <c r="G89" s="13"/>
      <c r="H89" s="13"/>
      <c r="I89" s="13"/>
      <c r="J89" s="108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9"/>
      <c r="AC89" s="19"/>
      <c r="AD89" s="19"/>
      <c r="AE89" s="19"/>
      <c r="AF89" s="19"/>
      <c r="AG89" s="19"/>
    </row>
    <row r="90" ht="40.5" customHeight="1">
      <c r="A90" s="13"/>
      <c r="B90" s="64"/>
      <c r="C90" s="49"/>
      <c r="D90" s="49"/>
      <c r="E90" s="49"/>
      <c r="F90" s="49"/>
      <c r="G90" s="50"/>
      <c r="H90" s="65" t="s">
        <v>4</v>
      </c>
      <c r="I90" s="49"/>
      <c r="J90" s="50"/>
      <c r="K90" s="65" t="s">
        <v>5</v>
      </c>
      <c r="L90" s="49"/>
      <c r="M90" s="50"/>
      <c r="N90" s="65" t="s">
        <v>6</v>
      </c>
      <c r="O90" s="49"/>
      <c r="P90" s="50"/>
      <c r="Q90" s="65" t="s">
        <v>31</v>
      </c>
      <c r="R90" s="49"/>
      <c r="S90" s="50"/>
      <c r="T90" s="65" t="s">
        <v>8</v>
      </c>
      <c r="U90" s="49"/>
      <c r="V90" s="49"/>
      <c r="W90" s="65" t="s">
        <v>9</v>
      </c>
      <c r="X90" s="49"/>
      <c r="Y90" s="50"/>
      <c r="Z90" s="13"/>
      <c r="AA90" s="54" t="s">
        <v>10</v>
      </c>
      <c r="AB90" s="19"/>
      <c r="AC90" s="19"/>
      <c r="AD90" s="19"/>
      <c r="AE90" s="19"/>
      <c r="AF90" s="19"/>
      <c r="AG90" s="19"/>
    </row>
    <row r="91" ht="14.25" customHeight="1">
      <c r="A91" s="13"/>
      <c r="B91" s="24"/>
      <c r="C91" s="25" t="s">
        <v>81</v>
      </c>
      <c r="D91" s="25" t="s">
        <v>12</v>
      </c>
      <c r="E91" s="25" t="s">
        <v>13</v>
      </c>
      <c r="F91" s="25" t="s">
        <v>14</v>
      </c>
      <c r="G91" s="25" t="s">
        <v>15</v>
      </c>
      <c r="H91" s="26" t="s">
        <v>16</v>
      </c>
      <c r="I91" s="27" t="s">
        <v>17</v>
      </c>
      <c r="J91" s="28" t="s">
        <v>18</v>
      </c>
      <c r="K91" s="26" t="s">
        <v>16</v>
      </c>
      <c r="L91" s="27" t="s">
        <v>17</v>
      </c>
      <c r="M91" s="28" t="s">
        <v>18</v>
      </c>
      <c r="N91" s="26" t="s">
        <v>16</v>
      </c>
      <c r="O91" s="27" t="s">
        <v>17</v>
      </c>
      <c r="P91" s="28" t="s">
        <v>18</v>
      </c>
      <c r="Q91" s="26" t="s">
        <v>16</v>
      </c>
      <c r="R91" s="27" t="s">
        <v>17</v>
      </c>
      <c r="S91" s="28" t="s">
        <v>18</v>
      </c>
      <c r="T91" s="26" t="s">
        <v>16</v>
      </c>
      <c r="U91" s="27" t="s">
        <v>17</v>
      </c>
      <c r="V91" s="28" t="s">
        <v>18</v>
      </c>
      <c r="W91" s="26" t="s">
        <v>16</v>
      </c>
      <c r="X91" s="27" t="s">
        <v>17</v>
      </c>
      <c r="Y91" s="28" t="s">
        <v>18</v>
      </c>
      <c r="Z91" s="13"/>
      <c r="AA91" s="29"/>
      <c r="AB91" s="19"/>
      <c r="AC91" s="19"/>
      <c r="AD91" s="19"/>
      <c r="AE91" s="19"/>
      <c r="AF91" s="19"/>
      <c r="AG91" s="19"/>
    </row>
    <row r="92" ht="102.0" customHeight="1">
      <c r="A92" s="13"/>
      <c r="B92" s="98">
        <v>27.0</v>
      </c>
      <c r="C92" s="99" t="s">
        <v>82</v>
      </c>
      <c r="D92" s="56" t="s">
        <v>20</v>
      </c>
      <c r="E92" s="45" t="s">
        <v>50</v>
      </c>
      <c r="F92" s="34">
        <v>4.2</v>
      </c>
      <c r="G92" s="109" t="s">
        <v>83</v>
      </c>
      <c r="H92" s="36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6"/>
      <c r="W92" s="100"/>
      <c r="X92" s="101"/>
      <c r="Y92" s="102">
        <v>1.0</v>
      </c>
      <c r="Z92" s="13"/>
      <c r="AA92" s="103">
        <v>1.0</v>
      </c>
      <c r="AB92" s="19"/>
      <c r="AC92" s="19"/>
      <c r="AD92" s="19"/>
      <c r="AE92" s="19"/>
      <c r="AF92" s="19"/>
      <c r="AG92" s="19"/>
    </row>
    <row r="93" ht="14.25" customHeight="1">
      <c r="A93" s="13"/>
      <c r="B93" s="23"/>
      <c r="C93" s="23"/>
      <c r="D93" s="23"/>
      <c r="E93" s="23"/>
      <c r="F93" s="23"/>
      <c r="G93" s="68" t="s">
        <v>84</v>
      </c>
      <c r="H93" s="41"/>
      <c r="V93" s="42"/>
      <c r="W93" s="23"/>
      <c r="X93" s="23"/>
      <c r="Y93" s="23"/>
      <c r="Z93" s="13"/>
      <c r="AA93" s="23"/>
      <c r="AB93" s="19"/>
      <c r="AC93" s="19"/>
      <c r="AD93" s="19"/>
      <c r="AE93" s="19"/>
      <c r="AF93" s="19"/>
      <c r="AG93" s="19"/>
    </row>
    <row r="94" ht="14.25" customHeight="1">
      <c r="A94" s="13"/>
      <c r="B94" s="23"/>
      <c r="C94" s="23"/>
      <c r="D94" s="23"/>
      <c r="E94" s="23"/>
      <c r="F94" s="23"/>
      <c r="G94" s="23"/>
      <c r="H94" s="41"/>
      <c r="V94" s="42"/>
      <c r="W94" s="23"/>
      <c r="X94" s="23"/>
      <c r="Y94" s="23"/>
      <c r="Z94" s="13"/>
      <c r="AA94" s="23"/>
      <c r="AB94" s="19"/>
      <c r="AC94" s="19"/>
      <c r="AD94" s="19"/>
      <c r="AE94" s="19"/>
      <c r="AF94" s="19"/>
      <c r="AG94" s="19"/>
    </row>
    <row r="95" ht="14.25" customHeight="1">
      <c r="A95" s="13"/>
      <c r="B95" s="23"/>
      <c r="C95" s="23"/>
      <c r="D95" s="23"/>
      <c r="E95" s="23"/>
      <c r="F95" s="23"/>
      <c r="G95" s="23"/>
      <c r="H95" s="41"/>
      <c r="V95" s="42"/>
      <c r="W95" s="23"/>
      <c r="X95" s="23"/>
      <c r="Y95" s="23"/>
      <c r="Z95" s="13"/>
      <c r="AA95" s="23"/>
      <c r="AB95" s="19"/>
      <c r="AC95" s="19"/>
      <c r="AD95" s="19"/>
      <c r="AE95" s="19"/>
      <c r="AF95" s="19"/>
      <c r="AG95" s="19"/>
    </row>
    <row r="96" ht="14.25" customHeight="1">
      <c r="A96" s="13"/>
      <c r="B96" s="23"/>
      <c r="C96" s="23"/>
      <c r="D96" s="23"/>
      <c r="E96" s="23"/>
      <c r="F96" s="29"/>
      <c r="G96" s="29"/>
      <c r="H96" s="41"/>
      <c r="V96" s="42"/>
      <c r="W96" s="23"/>
      <c r="X96" s="23"/>
      <c r="Y96" s="23"/>
      <c r="Z96" s="13"/>
      <c r="AA96" s="23"/>
      <c r="AB96" s="19"/>
      <c r="AC96" s="19"/>
      <c r="AD96" s="19"/>
      <c r="AE96" s="19"/>
      <c r="AF96" s="19"/>
      <c r="AG96" s="19"/>
    </row>
    <row r="97" ht="14.25" customHeight="1">
      <c r="A97" s="13"/>
      <c r="B97" s="23"/>
      <c r="C97" s="23"/>
      <c r="D97" s="23"/>
      <c r="E97" s="23"/>
      <c r="F97" s="34">
        <v>4.3</v>
      </c>
      <c r="G97" s="35" t="s">
        <v>85</v>
      </c>
      <c r="H97" s="41"/>
      <c r="V97" s="42"/>
      <c r="W97" s="23"/>
      <c r="X97" s="23"/>
      <c r="Y97" s="23"/>
      <c r="Z97" s="13"/>
      <c r="AA97" s="23"/>
      <c r="AB97" s="19"/>
      <c r="AC97" s="19"/>
      <c r="AD97" s="19"/>
      <c r="AE97" s="19"/>
      <c r="AF97" s="19"/>
      <c r="AG97" s="19"/>
    </row>
    <row r="98" ht="14.25" customHeight="1">
      <c r="A98" s="13"/>
      <c r="B98" s="23"/>
      <c r="C98" s="23"/>
      <c r="D98" s="23"/>
      <c r="E98" s="23"/>
      <c r="F98" s="23"/>
      <c r="G98" s="68" t="s">
        <v>86</v>
      </c>
      <c r="H98" s="41"/>
      <c r="V98" s="42"/>
      <c r="W98" s="23"/>
      <c r="X98" s="23"/>
      <c r="Y98" s="23"/>
      <c r="Z98" s="13"/>
      <c r="AA98" s="23"/>
      <c r="AB98" s="19"/>
      <c r="AC98" s="19"/>
      <c r="AD98" s="19"/>
      <c r="AE98" s="19"/>
      <c r="AF98" s="19"/>
      <c r="AG98" s="19"/>
    </row>
    <row r="99" ht="14.25" customHeight="1">
      <c r="A99" s="13"/>
      <c r="B99" s="29"/>
      <c r="C99" s="29"/>
      <c r="D99" s="29"/>
      <c r="E99" s="29"/>
      <c r="F99" s="29"/>
      <c r="G99" s="29"/>
      <c r="H99" s="2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2"/>
      <c r="W99" s="29"/>
      <c r="X99" s="29"/>
      <c r="Y99" s="29"/>
      <c r="Z99" s="13"/>
      <c r="AA99" s="29"/>
      <c r="AB99" s="19"/>
      <c r="AC99" s="19"/>
      <c r="AD99" s="19"/>
      <c r="AE99" s="19"/>
      <c r="AF99" s="19"/>
      <c r="AG99" s="19"/>
    </row>
    <row r="100" ht="14.25" customHeight="1">
      <c r="A100" s="13"/>
      <c r="B100" s="47"/>
      <c r="C100" s="48" t="s">
        <v>30</v>
      </c>
      <c r="D100" s="49"/>
      <c r="E100" s="49"/>
      <c r="F100" s="49"/>
      <c r="G100" s="50"/>
      <c r="H100" s="51">
        <f t="shared" ref="H100:Y100" si="14">SUM(H92:H99)</f>
        <v>0</v>
      </c>
      <c r="I100" s="51">
        <f t="shared" si="14"/>
        <v>0</v>
      </c>
      <c r="J100" s="51">
        <f t="shared" si="14"/>
        <v>0</v>
      </c>
      <c r="K100" s="51">
        <f t="shared" si="14"/>
        <v>0</v>
      </c>
      <c r="L100" s="51">
        <f t="shared" si="14"/>
        <v>0</v>
      </c>
      <c r="M100" s="51">
        <f t="shared" si="14"/>
        <v>0</v>
      </c>
      <c r="N100" s="51">
        <f t="shared" si="14"/>
        <v>0</v>
      </c>
      <c r="O100" s="51">
        <f t="shared" si="14"/>
        <v>0</v>
      </c>
      <c r="P100" s="51">
        <f t="shared" si="14"/>
        <v>0</v>
      </c>
      <c r="Q100" s="51">
        <f t="shared" si="14"/>
        <v>0</v>
      </c>
      <c r="R100" s="51">
        <f t="shared" si="14"/>
        <v>0</v>
      </c>
      <c r="S100" s="51">
        <f t="shared" si="14"/>
        <v>0</v>
      </c>
      <c r="T100" s="51">
        <f t="shared" si="14"/>
        <v>0</v>
      </c>
      <c r="U100" s="51">
        <f t="shared" si="14"/>
        <v>0</v>
      </c>
      <c r="V100" s="51">
        <f t="shared" si="14"/>
        <v>0</v>
      </c>
      <c r="W100" s="51">
        <f t="shared" si="14"/>
        <v>0</v>
      </c>
      <c r="X100" s="51">
        <f t="shared" si="14"/>
        <v>0</v>
      </c>
      <c r="Y100" s="51">
        <f t="shared" si="14"/>
        <v>1</v>
      </c>
      <c r="Z100" s="13"/>
      <c r="AA100" s="40">
        <f>SUM(AA92:AA99)</f>
        <v>1</v>
      </c>
      <c r="AB100" s="19"/>
      <c r="AC100" s="19"/>
      <c r="AD100" s="19"/>
      <c r="AE100" s="19"/>
      <c r="AF100" s="19"/>
      <c r="AG100" s="19"/>
    </row>
    <row r="101" ht="14.25" customHeight="1">
      <c r="A101" s="13"/>
      <c r="B101" s="13"/>
      <c r="C101" s="13"/>
      <c r="D101" s="52"/>
      <c r="E101" s="13"/>
      <c r="F101" s="13"/>
      <c r="G101" s="13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1"/>
      <c r="X101" s="111"/>
      <c r="Y101" s="111"/>
      <c r="Z101" s="13"/>
      <c r="AA101" s="13"/>
      <c r="AB101" s="19"/>
      <c r="AC101" s="19"/>
      <c r="AD101" s="19"/>
      <c r="AE101" s="19"/>
      <c r="AF101" s="19"/>
      <c r="AG101" s="19"/>
    </row>
    <row r="102" ht="14.25" customHeight="1">
      <c r="A102" s="5"/>
      <c r="B102" s="5"/>
      <c r="C102" s="5"/>
      <c r="D102" s="6"/>
      <c r="E102" s="5"/>
      <c r="F102" s="5"/>
      <c r="G102" s="5"/>
      <c r="Z102" s="5"/>
      <c r="AA102" s="5"/>
    </row>
    <row r="103" ht="14.25" customHeight="1">
      <c r="D103" s="1"/>
    </row>
    <row r="104" ht="14.25" customHeight="1">
      <c r="D104" s="1"/>
      <c r="G104" s="112"/>
    </row>
    <row r="105" ht="14.25" customHeight="1">
      <c r="D105" s="1"/>
      <c r="G105" s="113"/>
    </row>
    <row r="106" ht="14.25" customHeight="1">
      <c r="D106" s="1"/>
      <c r="G106" s="112"/>
    </row>
    <row r="107" ht="14.25" customHeight="1">
      <c r="D107" s="1"/>
      <c r="G107" s="112"/>
    </row>
    <row r="108" ht="14.25" customHeight="1">
      <c r="D108" s="1"/>
      <c r="G108" s="112"/>
    </row>
    <row r="109" ht="14.25" customHeight="1">
      <c r="D109" s="1"/>
      <c r="G109" s="112"/>
    </row>
    <row r="110" ht="14.25" customHeight="1">
      <c r="D110" s="1"/>
      <c r="G110" s="112"/>
    </row>
    <row r="111" ht="14.25" customHeight="1">
      <c r="D111" s="1"/>
    </row>
    <row r="112" ht="14.25" customHeight="1">
      <c r="D112" s="1"/>
    </row>
    <row r="113" ht="14.25" customHeight="1">
      <c r="D113" s="1"/>
    </row>
    <row r="114" ht="14.25" customHeight="1">
      <c r="D114" s="1"/>
    </row>
    <row r="115" ht="14.25" customHeight="1">
      <c r="D115" s="1"/>
    </row>
    <row r="116" ht="14.25" customHeight="1">
      <c r="D116" s="1"/>
    </row>
    <row r="117" ht="14.25" customHeight="1">
      <c r="D117" s="1"/>
    </row>
    <row r="118" ht="14.25" customHeight="1">
      <c r="D118" s="1"/>
    </row>
    <row r="119" ht="14.25" customHeight="1">
      <c r="D119" s="1"/>
    </row>
    <row r="120" ht="14.25" customHeight="1">
      <c r="D120" s="1"/>
    </row>
    <row r="121" ht="14.25" customHeight="1">
      <c r="D121" s="1"/>
    </row>
    <row r="122" ht="14.25" customHeight="1">
      <c r="D122" s="1"/>
    </row>
    <row r="123" ht="14.25" customHeight="1">
      <c r="D123" s="1"/>
    </row>
    <row r="124" ht="14.25" customHeight="1">
      <c r="D124" s="1"/>
    </row>
    <row r="125" ht="14.25" customHeight="1">
      <c r="D125" s="1"/>
    </row>
    <row r="126" ht="14.25" customHeight="1">
      <c r="D126" s="1"/>
    </row>
    <row r="127" ht="14.25" customHeight="1">
      <c r="D127" s="1"/>
    </row>
    <row r="128" ht="14.25" customHeight="1">
      <c r="D128" s="1"/>
    </row>
    <row r="129" ht="14.25" customHeight="1">
      <c r="D129" s="1"/>
    </row>
    <row r="130" ht="14.25" customHeight="1">
      <c r="D130" s="1"/>
    </row>
    <row r="131" ht="14.25" customHeight="1">
      <c r="D131" s="1"/>
    </row>
    <row r="132" ht="14.25" customHeight="1">
      <c r="D132" s="1"/>
    </row>
    <row r="133" ht="14.25" customHeight="1">
      <c r="D133" s="1"/>
    </row>
    <row r="134" ht="14.25" customHeight="1">
      <c r="D134" s="1"/>
    </row>
    <row r="135" ht="14.25" customHeight="1">
      <c r="D135" s="1"/>
    </row>
    <row r="136" ht="14.25" customHeight="1">
      <c r="D136" s="1"/>
    </row>
    <row r="137" ht="14.25" customHeight="1">
      <c r="D137" s="1"/>
    </row>
    <row r="138" ht="14.25" customHeight="1">
      <c r="D138" s="1"/>
    </row>
    <row r="139" ht="14.25" customHeight="1">
      <c r="D139" s="1"/>
    </row>
    <row r="140" ht="14.25" customHeight="1">
      <c r="D140" s="1"/>
    </row>
    <row r="141" ht="14.25" customHeight="1">
      <c r="D141" s="1"/>
    </row>
    <row r="142" ht="14.25" customHeight="1">
      <c r="D142" s="1"/>
    </row>
    <row r="143" ht="14.25" customHeight="1">
      <c r="D143" s="1"/>
    </row>
    <row r="144" ht="14.25" customHeight="1">
      <c r="D144" s="1"/>
    </row>
    <row r="145" ht="14.25" customHeight="1">
      <c r="D145" s="1"/>
    </row>
    <row r="146" ht="14.25" customHeight="1">
      <c r="D146" s="1"/>
    </row>
    <row r="147" ht="14.25" customHeight="1">
      <c r="D147" s="1"/>
    </row>
    <row r="148" ht="14.25" customHeight="1">
      <c r="D148" s="1"/>
    </row>
    <row r="149" ht="14.25" customHeight="1">
      <c r="D149" s="1"/>
    </row>
    <row r="150" ht="14.25" customHeight="1">
      <c r="D150" s="1"/>
    </row>
    <row r="151" ht="14.25" customHeight="1">
      <c r="D151" s="1"/>
    </row>
    <row r="152" ht="14.25" customHeight="1">
      <c r="D152" s="1"/>
    </row>
    <row r="153" ht="14.25" customHeight="1">
      <c r="D153" s="1"/>
    </row>
    <row r="154" ht="14.25" customHeight="1">
      <c r="D154" s="1"/>
    </row>
    <row r="155" ht="14.25" customHeight="1">
      <c r="D155" s="1"/>
    </row>
    <row r="156" ht="14.25" customHeight="1">
      <c r="D156" s="1"/>
    </row>
    <row r="157" ht="14.25" customHeight="1">
      <c r="D157" s="1"/>
    </row>
    <row r="158" ht="14.25" customHeight="1">
      <c r="D158" s="1"/>
    </row>
    <row r="159" ht="14.25" customHeight="1">
      <c r="D159" s="1"/>
    </row>
    <row r="160" ht="14.25" customHeight="1">
      <c r="D160" s="1"/>
    </row>
    <row r="161" ht="14.25" customHeight="1">
      <c r="D161" s="1"/>
    </row>
    <row r="162" ht="14.25" customHeight="1">
      <c r="D162" s="1"/>
    </row>
    <row r="163" ht="14.25" customHeight="1">
      <c r="D163" s="1"/>
    </row>
    <row r="164" ht="14.25" customHeight="1">
      <c r="D164" s="1"/>
    </row>
    <row r="165" ht="14.25" customHeight="1">
      <c r="D165" s="1"/>
    </row>
    <row r="166" ht="14.25" customHeight="1">
      <c r="D166" s="1"/>
    </row>
    <row r="167" ht="14.25" customHeight="1">
      <c r="D167" s="1"/>
    </row>
    <row r="168" ht="14.25" customHeight="1">
      <c r="D168" s="1"/>
    </row>
    <row r="169" ht="14.25" customHeight="1">
      <c r="D169" s="1"/>
    </row>
    <row r="170" ht="14.25" customHeight="1">
      <c r="D170" s="1"/>
    </row>
    <row r="171" ht="14.25" customHeight="1">
      <c r="D171" s="1"/>
    </row>
    <row r="172" ht="14.25" customHeight="1">
      <c r="D172" s="1"/>
    </row>
    <row r="173" ht="14.25" customHeight="1">
      <c r="D173" s="1"/>
    </row>
    <row r="174" ht="14.25" customHeight="1">
      <c r="D174" s="1"/>
    </row>
    <row r="175" ht="14.25" customHeight="1">
      <c r="D175" s="1"/>
    </row>
    <row r="176" ht="14.25" customHeight="1">
      <c r="D176" s="1"/>
    </row>
    <row r="177" ht="14.25" customHeight="1">
      <c r="D177" s="1"/>
    </row>
    <row r="178" ht="14.25" customHeight="1">
      <c r="D178" s="1"/>
    </row>
    <row r="179" ht="14.25" customHeight="1">
      <c r="D179" s="1"/>
    </row>
    <row r="180" ht="14.25" customHeight="1">
      <c r="D180" s="1"/>
    </row>
    <row r="181" ht="14.25" customHeight="1">
      <c r="D181" s="1"/>
    </row>
    <row r="182" ht="14.25" customHeight="1">
      <c r="D182" s="1"/>
    </row>
    <row r="183" ht="14.25" customHeight="1">
      <c r="D183" s="1"/>
    </row>
    <row r="184" ht="14.25" customHeight="1">
      <c r="D184" s="1"/>
    </row>
    <row r="185" ht="14.25" customHeight="1">
      <c r="D185" s="1"/>
    </row>
    <row r="186" ht="14.25" customHeight="1">
      <c r="D186" s="1"/>
    </row>
    <row r="187" ht="14.25" customHeight="1">
      <c r="D187" s="1"/>
    </row>
    <row r="188" ht="14.25" customHeight="1">
      <c r="D188" s="1"/>
    </row>
    <row r="189" ht="14.25" customHeight="1">
      <c r="D189" s="1"/>
    </row>
    <row r="190" ht="14.25" customHeight="1">
      <c r="D190" s="1"/>
    </row>
    <row r="191" ht="14.25" customHeight="1">
      <c r="D191" s="1"/>
    </row>
    <row r="192" ht="14.25" customHeight="1">
      <c r="D192" s="1"/>
    </row>
    <row r="193" ht="14.25" customHeight="1">
      <c r="D193" s="1"/>
    </row>
    <row r="194" ht="14.25" customHeight="1">
      <c r="D194" s="1"/>
    </row>
    <row r="195" ht="14.25" customHeight="1">
      <c r="D195" s="1"/>
    </row>
    <row r="196" ht="14.25" customHeight="1">
      <c r="D196" s="1"/>
    </row>
    <row r="197" ht="14.25" customHeight="1">
      <c r="D197" s="1"/>
    </row>
    <row r="198" ht="14.25" customHeight="1">
      <c r="D198" s="1"/>
    </row>
    <row r="199" ht="14.25" customHeight="1">
      <c r="D199" s="1"/>
    </row>
    <row r="200" ht="14.25" customHeight="1">
      <c r="D200" s="1"/>
    </row>
    <row r="201" ht="14.25" customHeight="1">
      <c r="D201" s="1"/>
    </row>
    <row r="202" ht="14.25" customHeight="1">
      <c r="D202" s="1"/>
    </row>
    <row r="203" ht="14.25" customHeight="1">
      <c r="D203" s="1"/>
    </row>
    <row r="204" ht="14.25" customHeight="1">
      <c r="D204" s="1"/>
    </row>
    <row r="205" ht="14.25" customHeight="1">
      <c r="D205" s="1"/>
    </row>
    <row r="206" ht="14.25" customHeight="1">
      <c r="D206" s="1"/>
    </row>
    <row r="207" ht="14.25" customHeight="1">
      <c r="D207" s="1"/>
    </row>
    <row r="208" ht="14.25" customHeight="1">
      <c r="D208" s="1"/>
    </row>
    <row r="209" ht="14.25" customHeight="1">
      <c r="D209" s="1"/>
    </row>
    <row r="210" ht="14.25" customHeight="1">
      <c r="D210" s="1"/>
    </row>
    <row r="211" ht="14.25" customHeight="1">
      <c r="D211" s="1"/>
    </row>
    <row r="212" ht="14.25" customHeight="1">
      <c r="D212" s="1"/>
    </row>
    <row r="213" ht="14.25" customHeight="1">
      <c r="D213" s="1"/>
    </row>
    <row r="214" ht="14.25" customHeight="1">
      <c r="D214" s="1"/>
    </row>
    <row r="215" ht="14.25" customHeight="1">
      <c r="D215" s="1"/>
    </row>
    <row r="216" ht="14.25" customHeight="1">
      <c r="D216" s="1"/>
    </row>
    <row r="217" ht="14.25" customHeight="1">
      <c r="D217" s="1"/>
    </row>
    <row r="218" ht="14.25" customHeight="1">
      <c r="D218" s="1"/>
    </row>
    <row r="219" ht="14.25" customHeight="1">
      <c r="D219" s="1"/>
    </row>
    <row r="220" ht="14.25" customHeight="1">
      <c r="D220" s="1"/>
    </row>
    <row r="221" ht="14.25" customHeight="1">
      <c r="D221" s="1"/>
    </row>
    <row r="222" ht="14.25" customHeight="1">
      <c r="D222" s="1"/>
    </row>
    <row r="223" ht="14.25" customHeight="1">
      <c r="D223" s="1"/>
    </row>
    <row r="224" ht="14.25" customHeight="1">
      <c r="D224" s="1"/>
    </row>
    <row r="225" ht="14.25" customHeight="1">
      <c r="D225" s="1"/>
    </row>
    <row r="226" ht="14.25" customHeight="1">
      <c r="D226" s="1"/>
    </row>
    <row r="227" ht="14.25" customHeight="1">
      <c r="D227" s="1"/>
    </row>
    <row r="228" ht="14.25" customHeight="1">
      <c r="D228" s="1"/>
    </row>
    <row r="229" ht="14.25" customHeight="1">
      <c r="D229" s="1"/>
    </row>
    <row r="230" ht="14.25" customHeight="1">
      <c r="D230" s="1"/>
    </row>
    <row r="231" ht="14.25" customHeight="1">
      <c r="D231" s="1"/>
    </row>
    <row r="232" ht="14.25" customHeight="1">
      <c r="D232" s="1"/>
    </row>
    <row r="233" ht="14.25" customHeight="1">
      <c r="D233" s="1"/>
    </row>
    <row r="234" ht="14.25" customHeight="1">
      <c r="D234" s="1"/>
    </row>
    <row r="235" ht="14.25" customHeight="1">
      <c r="D235" s="1"/>
    </row>
    <row r="236" ht="14.25" customHeight="1">
      <c r="D236" s="1"/>
    </row>
    <row r="237" ht="14.25" customHeight="1">
      <c r="D237" s="1"/>
    </row>
    <row r="238" ht="14.25" customHeight="1">
      <c r="D238" s="1"/>
    </row>
    <row r="239" ht="14.25" customHeight="1">
      <c r="D239" s="1"/>
    </row>
    <row r="240" ht="14.25" customHeight="1">
      <c r="D240" s="1"/>
    </row>
    <row r="241" ht="14.25" customHeight="1">
      <c r="D241" s="1"/>
    </row>
    <row r="242" ht="14.25" customHeight="1">
      <c r="D242" s="1"/>
    </row>
    <row r="243" ht="14.25" customHeight="1">
      <c r="D243" s="1"/>
    </row>
    <row r="244" ht="14.25" customHeight="1">
      <c r="D244" s="1"/>
    </row>
    <row r="245" ht="14.25" customHeight="1">
      <c r="D245" s="1"/>
    </row>
    <row r="246" ht="14.25" customHeight="1">
      <c r="D246" s="1"/>
    </row>
    <row r="247" ht="14.25" customHeight="1">
      <c r="D247" s="1"/>
    </row>
    <row r="248" ht="14.25" customHeight="1">
      <c r="D248" s="1"/>
    </row>
    <row r="249" ht="14.25" customHeight="1">
      <c r="D249" s="1"/>
    </row>
    <row r="250" ht="14.25" customHeight="1">
      <c r="D250" s="1"/>
    </row>
    <row r="251" ht="14.25" customHeight="1">
      <c r="D251" s="1"/>
    </row>
    <row r="252" ht="14.25" customHeight="1">
      <c r="D252" s="1"/>
    </row>
    <row r="253" ht="14.25" customHeight="1">
      <c r="D253" s="1"/>
    </row>
    <row r="254" ht="14.25" customHeight="1">
      <c r="D254" s="1"/>
    </row>
    <row r="255" ht="14.25" customHeight="1">
      <c r="D255" s="1"/>
    </row>
    <row r="256" ht="14.25" customHeight="1">
      <c r="D256" s="1"/>
    </row>
    <row r="257" ht="14.25" customHeight="1">
      <c r="D257" s="1"/>
    </row>
    <row r="258" ht="14.25" customHeight="1">
      <c r="D258" s="1"/>
    </row>
    <row r="259" ht="14.25" customHeight="1">
      <c r="D259" s="1"/>
    </row>
    <row r="260" ht="14.25" customHeight="1">
      <c r="D260" s="1"/>
    </row>
    <row r="261" ht="14.25" customHeight="1">
      <c r="D261" s="1"/>
    </row>
    <row r="262" ht="14.25" customHeight="1">
      <c r="D262" s="1"/>
    </row>
    <row r="263" ht="14.25" customHeight="1">
      <c r="D263" s="1"/>
    </row>
    <row r="264" ht="14.25" customHeight="1">
      <c r="D264" s="1"/>
    </row>
    <row r="265" ht="14.25" customHeight="1">
      <c r="D265" s="1"/>
    </row>
    <row r="266" ht="14.25" customHeight="1">
      <c r="D266" s="1"/>
    </row>
    <row r="267" ht="14.25" customHeight="1">
      <c r="D267" s="1"/>
    </row>
    <row r="268" ht="14.25" customHeight="1">
      <c r="D268" s="1"/>
    </row>
    <row r="269" ht="14.25" customHeight="1">
      <c r="D269" s="1"/>
    </row>
    <row r="270" ht="14.25" customHeight="1">
      <c r="D270" s="1"/>
    </row>
    <row r="271" ht="14.25" customHeight="1">
      <c r="D271" s="1"/>
    </row>
    <row r="272" ht="14.25" customHeight="1">
      <c r="D272" s="1"/>
    </row>
    <row r="273" ht="14.25" customHeight="1">
      <c r="D273" s="1"/>
    </row>
    <row r="274" ht="14.25" customHeight="1">
      <c r="D274" s="1"/>
    </row>
    <row r="275" ht="14.25" customHeight="1">
      <c r="D275" s="1"/>
    </row>
    <row r="276" ht="14.25" customHeight="1">
      <c r="D276" s="1"/>
    </row>
    <row r="277" ht="14.25" customHeight="1">
      <c r="D277" s="1"/>
    </row>
    <row r="278" ht="14.25" customHeight="1">
      <c r="D278" s="1"/>
    </row>
    <row r="279" ht="14.25" customHeight="1">
      <c r="D279" s="1"/>
    </row>
    <row r="280" ht="14.25" customHeight="1">
      <c r="D280" s="1"/>
    </row>
    <row r="281" ht="14.25" customHeight="1">
      <c r="D281" s="1"/>
    </row>
    <row r="282" ht="14.25" customHeight="1">
      <c r="D282" s="1"/>
    </row>
    <row r="283" ht="14.25" customHeight="1">
      <c r="D283" s="1"/>
    </row>
    <row r="284" ht="14.25" customHeight="1">
      <c r="D284" s="1"/>
    </row>
    <row r="285" ht="14.25" customHeight="1">
      <c r="D285" s="1"/>
    </row>
    <row r="286" ht="14.25" customHeight="1">
      <c r="D286" s="1"/>
    </row>
    <row r="287" ht="14.25" customHeight="1">
      <c r="D287" s="1"/>
    </row>
    <row r="288" ht="14.25" customHeight="1">
      <c r="D288" s="1"/>
    </row>
    <row r="289" ht="14.25" customHeight="1">
      <c r="D289" s="1"/>
    </row>
    <row r="290" ht="14.25" customHeight="1">
      <c r="D290" s="1"/>
    </row>
    <row r="291" ht="14.25" customHeight="1">
      <c r="D291" s="1"/>
    </row>
    <row r="292" ht="14.25" customHeight="1">
      <c r="D292" s="1"/>
    </row>
    <row r="293" ht="14.25" customHeight="1">
      <c r="D293" s="1"/>
    </row>
    <row r="294" ht="14.25" customHeight="1">
      <c r="D294" s="1"/>
    </row>
    <row r="295" ht="14.25" customHeight="1">
      <c r="D295" s="1"/>
    </row>
    <row r="296" ht="14.25" customHeight="1">
      <c r="D296" s="1"/>
    </row>
    <row r="297" ht="14.25" customHeight="1">
      <c r="D297" s="1"/>
    </row>
    <row r="298" ht="14.25" customHeight="1">
      <c r="D298" s="1"/>
    </row>
    <row r="299" ht="14.25" customHeight="1">
      <c r="D299" s="1"/>
    </row>
    <row r="300" ht="14.25" customHeight="1">
      <c r="D300" s="1"/>
    </row>
    <row r="301" ht="14.25" customHeight="1">
      <c r="D301" s="1"/>
    </row>
    <row r="302" ht="14.25" customHeight="1">
      <c r="D302" s="1"/>
    </row>
    <row r="303" ht="14.25" customHeight="1">
      <c r="D303" s="1"/>
    </row>
    <row r="304" ht="14.25" customHeight="1">
      <c r="D304" s="1"/>
    </row>
    <row r="305" ht="14.25" customHeight="1">
      <c r="D305" s="1"/>
    </row>
    <row r="306" ht="14.25" customHeight="1">
      <c r="D306" s="1"/>
    </row>
    <row r="307" ht="14.25" customHeight="1">
      <c r="D307" s="1"/>
    </row>
    <row r="308" ht="14.25" customHeight="1">
      <c r="D308" s="1"/>
    </row>
    <row r="309" ht="14.25" customHeight="1">
      <c r="D309" s="1"/>
    </row>
    <row r="310" ht="14.25" customHeight="1">
      <c r="D310" s="1"/>
    </row>
    <row r="311" ht="14.25" customHeight="1">
      <c r="D311" s="1"/>
    </row>
    <row r="312" ht="14.25" customHeight="1">
      <c r="D312" s="1"/>
    </row>
    <row r="313" ht="14.25" customHeight="1">
      <c r="D313" s="1"/>
    </row>
    <row r="314" ht="14.25" customHeight="1">
      <c r="D314" s="1"/>
    </row>
    <row r="315" ht="14.25" customHeight="1">
      <c r="D315" s="1"/>
    </row>
    <row r="316" ht="14.25" customHeight="1">
      <c r="D316" s="1"/>
    </row>
    <row r="317" ht="14.25" customHeight="1">
      <c r="D317" s="1"/>
    </row>
    <row r="318" ht="14.25" customHeight="1">
      <c r="D318" s="1"/>
    </row>
    <row r="319" ht="14.25" customHeight="1">
      <c r="D319" s="1"/>
    </row>
    <row r="320" ht="14.25" customHeight="1">
      <c r="D320" s="1"/>
    </row>
    <row r="321" ht="14.25" customHeight="1">
      <c r="D321" s="1"/>
    </row>
    <row r="322" ht="14.25" customHeight="1">
      <c r="D322" s="1"/>
    </row>
    <row r="323" ht="14.25" customHeight="1">
      <c r="D323" s="1"/>
    </row>
    <row r="324" ht="14.25" customHeight="1">
      <c r="D324" s="1"/>
    </row>
    <row r="325" ht="14.25" customHeight="1">
      <c r="D325" s="1"/>
    </row>
    <row r="326" ht="14.25" customHeight="1">
      <c r="D326" s="1"/>
    </row>
    <row r="327" ht="14.25" customHeight="1">
      <c r="D327" s="1"/>
    </row>
    <row r="328" ht="14.25" customHeight="1">
      <c r="D328" s="1"/>
    </row>
    <row r="329" ht="14.25" customHeight="1">
      <c r="D329" s="1"/>
    </row>
    <row r="330" ht="14.25" customHeight="1">
      <c r="D330" s="1"/>
    </row>
    <row r="331" ht="14.25" customHeight="1">
      <c r="D331" s="1"/>
    </row>
    <row r="332" ht="14.25" customHeight="1">
      <c r="D332" s="1"/>
    </row>
    <row r="333" ht="14.25" customHeight="1">
      <c r="D333" s="1"/>
    </row>
    <row r="334" ht="14.25" customHeight="1">
      <c r="D334" s="1"/>
    </row>
    <row r="335" ht="14.25" customHeight="1">
      <c r="D335" s="1"/>
    </row>
    <row r="336" ht="14.25" customHeight="1">
      <c r="D336" s="1"/>
    </row>
    <row r="337" ht="14.25" customHeight="1">
      <c r="D337" s="1"/>
    </row>
    <row r="338" ht="14.25" customHeight="1">
      <c r="D338" s="1"/>
    </row>
    <row r="339" ht="14.25" customHeight="1">
      <c r="D339" s="1"/>
    </row>
    <row r="340" ht="14.25" customHeight="1">
      <c r="D340" s="1"/>
    </row>
    <row r="341" ht="14.25" customHeight="1">
      <c r="D341" s="1"/>
    </row>
    <row r="342" ht="14.25" customHeight="1">
      <c r="D342" s="1"/>
    </row>
    <row r="343" ht="14.25" customHeight="1">
      <c r="D343" s="1"/>
    </row>
    <row r="344" ht="14.25" customHeight="1">
      <c r="D344" s="1"/>
    </row>
    <row r="345" ht="14.25" customHeight="1">
      <c r="D345" s="1"/>
    </row>
    <row r="346" ht="14.25" customHeight="1">
      <c r="D346" s="1"/>
    </row>
    <row r="347" ht="14.25" customHeight="1">
      <c r="D347" s="1"/>
    </row>
    <row r="348" ht="14.25" customHeight="1">
      <c r="D348" s="1"/>
    </row>
    <row r="349" ht="14.25" customHeight="1">
      <c r="D349" s="1"/>
    </row>
    <row r="350" ht="14.25" customHeight="1">
      <c r="D350" s="1"/>
    </row>
    <row r="351" ht="14.25" customHeight="1">
      <c r="D351" s="1"/>
    </row>
    <row r="352" ht="14.25" customHeight="1">
      <c r="D352" s="1"/>
    </row>
    <row r="353" ht="14.25" customHeight="1">
      <c r="D353" s="1"/>
    </row>
    <row r="354" ht="14.25" customHeight="1">
      <c r="D354" s="1"/>
    </row>
    <row r="355" ht="14.25" customHeight="1">
      <c r="D355" s="1"/>
    </row>
    <row r="356" ht="14.25" customHeight="1">
      <c r="D356" s="1"/>
    </row>
    <row r="357" ht="14.25" customHeight="1">
      <c r="D357" s="1"/>
    </row>
    <row r="358" ht="14.25" customHeight="1">
      <c r="D358" s="1"/>
    </row>
    <row r="359" ht="14.25" customHeight="1">
      <c r="D359" s="1"/>
    </row>
    <row r="360" ht="14.25" customHeight="1">
      <c r="D360" s="1"/>
    </row>
    <row r="361" ht="14.25" customHeight="1">
      <c r="D361" s="1"/>
    </row>
    <row r="362" ht="14.25" customHeight="1">
      <c r="D362" s="1"/>
    </row>
    <row r="363" ht="14.25" customHeight="1">
      <c r="D363" s="1"/>
    </row>
    <row r="364" ht="14.25" customHeight="1">
      <c r="D364" s="1"/>
    </row>
    <row r="365" ht="14.25" customHeight="1">
      <c r="D365" s="1"/>
    </row>
    <row r="366" ht="14.25" customHeight="1">
      <c r="D366" s="1"/>
    </row>
    <row r="367" ht="14.25" customHeight="1">
      <c r="D367" s="1"/>
    </row>
    <row r="368" ht="14.25" customHeight="1">
      <c r="D368" s="1"/>
    </row>
    <row r="369" ht="14.25" customHeight="1">
      <c r="D369" s="1"/>
    </row>
    <row r="370" ht="14.25" customHeight="1">
      <c r="D370" s="1"/>
    </row>
    <row r="371" ht="14.25" customHeight="1">
      <c r="D371" s="1"/>
    </row>
    <row r="372" ht="14.25" customHeight="1">
      <c r="D372" s="1"/>
    </row>
    <row r="373" ht="14.25" customHeight="1">
      <c r="D373" s="1"/>
    </row>
    <row r="374" ht="14.25" customHeight="1">
      <c r="D374" s="1"/>
    </row>
    <row r="375" ht="14.25" customHeight="1">
      <c r="D375" s="1"/>
    </row>
    <row r="376" ht="14.25" customHeight="1">
      <c r="D376" s="1"/>
    </row>
    <row r="377" ht="14.25" customHeight="1">
      <c r="D377" s="1"/>
    </row>
    <row r="378" ht="14.25" customHeight="1">
      <c r="D378" s="1"/>
    </row>
    <row r="379" ht="14.25" customHeight="1">
      <c r="D379" s="1"/>
    </row>
    <row r="380" ht="14.25" customHeight="1">
      <c r="D380" s="1"/>
    </row>
    <row r="381" ht="14.25" customHeight="1">
      <c r="D381" s="1"/>
    </row>
    <row r="382" ht="14.25" customHeight="1">
      <c r="D382" s="1"/>
    </row>
    <row r="383" ht="14.25" customHeight="1">
      <c r="D383" s="1"/>
    </row>
    <row r="384" ht="14.25" customHeight="1">
      <c r="D384" s="1"/>
    </row>
    <row r="385" ht="14.25" customHeight="1">
      <c r="D385" s="1"/>
    </row>
    <row r="386" ht="14.25" customHeight="1">
      <c r="D386" s="1"/>
    </row>
    <row r="387" ht="14.25" customHeight="1">
      <c r="D387" s="1"/>
    </row>
    <row r="388" ht="14.25" customHeight="1">
      <c r="D388" s="1"/>
    </row>
    <row r="389" ht="14.25" customHeight="1">
      <c r="D389" s="1"/>
    </row>
    <row r="390" ht="14.25" customHeight="1">
      <c r="D390" s="1"/>
    </row>
    <row r="391" ht="14.25" customHeight="1">
      <c r="D391" s="1"/>
    </row>
    <row r="392" ht="14.25" customHeight="1">
      <c r="D392" s="1"/>
    </row>
    <row r="393" ht="14.25" customHeight="1">
      <c r="D393" s="1"/>
    </row>
    <row r="394" ht="14.25" customHeight="1">
      <c r="D394" s="1"/>
    </row>
    <row r="395" ht="14.25" customHeight="1">
      <c r="D395" s="1"/>
    </row>
    <row r="396" ht="14.25" customHeight="1">
      <c r="D396" s="1"/>
    </row>
    <row r="397" ht="14.25" customHeight="1">
      <c r="D397" s="1"/>
    </row>
    <row r="398" ht="14.25" customHeight="1">
      <c r="D398" s="1"/>
    </row>
    <row r="399" ht="14.25" customHeight="1">
      <c r="D399" s="1"/>
    </row>
    <row r="400" ht="14.25" customHeight="1">
      <c r="D400" s="1"/>
    </row>
    <row r="401" ht="14.25" customHeight="1">
      <c r="D401" s="1"/>
    </row>
    <row r="402" ht="14.25" customHeight="1">
      <c r="D402" s="1"/>
    </row>
    <row r="403" ht="14.25" customHeight="1">
      <c r="D403" s="1"/>
    </row>
    <row r="404" ht="14.25" customHeight="1">
      <c r="D404" s="1"/>
    </row>
    <row r="405" ht="14.25" customHeight="1">
      <c r="D405" s="1"/>
    </row>
    <row r="406" ht="14.25" customHeight="1">
      <c r="D406" s="1"/>
    </row>
    <row r="407" ht="14.25" customHeight="1">
      <c r="D407" s="1"/>
    </row>
    <row r="408" ht="14.25" customHeight="1">
      <c r="D408" s="1"/>
    </row>
    <row r="409" ht="14.25" customHeight="1">
      <c r="D409" s="1"/>
    </row>
    <row r="410" ht="14.25" customHeight="1">
      <c r="D410" s="1"/>
    </row>
    <row r="411" ht="14.25" customHeight="1">
      <c r="D411" s="1"/>
    </row>
    <row r="412" ht="14.25" customHeight="1">
      <c r="D412" s="1"/>
    </row>
    <row r="413" ht="14.25" customHeight="1">
      <c r="D413" s="1"/>
    </row>
    <row r="414" ht="14.25" customHeight="1">
      <c r="D414" s="1"/>
    </row>
    <row r="415" ht="14.25" customHeight="1">
      <c r="D415" s="1"/>
    </row>
    <row r="416" ht="14.25" customHeight="1">
      <c r="D416" s="1"/>
    </row>
    <row r="417" ht="14.25" customHeight="1">
      <c r="D417" s="1"/>
    </row>
    <row r="418" ht="14.25" customHeight="1">
      <c r="D418" s="1"/>
    </row>
    <row r="419" ht="14.25" customHeight="1">
      <c r="D419" s="1"/>
    </row>
    <row r="420" ht="14.25" customHeight="1">
      <c r="D420" s="1"/>
    </row>
    <row r="421" ht="14.25" customHeight="1">
      <c r="D421" s="1"/>
    </row>
    <row r="422" ht="14.25" customHeight="1">
      <c r="D422" s="1"/>
    </row>
    <row r="423" ht="14.25" customHeight="1">
      <c r="D423" s="1"/>
    </row>
    <row r="424" ht="14.25" customHeight="1">
      <c r="D424" s="1"/>
    </row>
    <row r="425" ht="14.25" customHeight="1">
      <c r="D425" s="1"/>
    </row>
    <row r="426" ht="14.25" customHeight="1">
      <c r="D426" s="1"/>
    </row>
    <row r="427" ht="14.25" customHeight="1">
      <c r="D427" s="1"/>
    </row>
    <row r="428" ht="14.25" customHeight="1">
      <c r="D428" s="1"/>
    </row>
    <row r="429" ht="14.25" customHeight="1">
      <c r="D429" s="1"/>
    </row>
    <row r="430" ht="14.25" customHeight="1">
      <c r="D430" s="1"/>
    </row>
    <row r="431" ht="14.25" customHeight="1">
      <c r="D431" s="1"/>
    </row>
    <row r="432" ht="14.25" customHeight="1">
      <c r="D432" s="1"/>
    </row>
    <row r="433" ht="14.25" customHeight="1">
      <c r="D433" s="1"/>
    </row>
    <row r="434" ht="14.25" customHeight="1">
      <c r="D434" s="1"/>
    </row>
    <row r="435" ht="14.25" customHeight="1">
      <c r="D435" s="1"/>
    </row>
    <row r="436" ht="14.25" customHeight="1">
      <c r="D436" s="1"/>
    </row>
    <row r="437" ht="14.25" customHeight="1">
      <c r="D437" s="1"/>
    </row>
    <row r="438" ht="14.25" customHeight="1">
      <c r="D438" s="1"/>
    </row>
    <row r="439" ht="14.25" customHeight="1">
      <c r="D439" s="1"/>
    </row>
    <row r="440" ht="14.25" customHeight="1">
      <c r="D440" s="1"/>
    </row>
    <row r="441" ht="14.25" customHeight="1">
      <c r="D441" s="1"/>
    </row>
    <row r="442" ht="14.25" customHeight="1">
      <c r="D442" s="1"/>
    </row>
    <row r="443" ht="14.25" customHeight="1">
      <c r="D443" s="1"/>
    </row>
    <row r="444" ht="14.25" customHeight="1">
      <c r="D444" s="1"/>
    </row>
    <row r="445" ht="14.25" customHeight="1">
      <c r="D445" s="1"/>
    </row>
    <row r="446" ht="14.25" customHeight="1">
      <c r="D446" s="1"/>
    </row>
    <row r="447" ht="14.25" customHeight="1">
      <c r="D447" s="1"/>
    </row>
    <row r="448" ht="14.25" customHeight="1">
      <c r="D448" s="1"/>
    </row>
    <row r="449" ht="14.25" customHeight="1">
      <c r="D449" s="1"/>
    </row>
    <row r="450" ht="14.25" customHeight="1">
      <c r="D450" s="1"/>
    </row>
    <row r="451" ht="14.25" customHeight="1">
      <c r="D451" s="1"/>
    </row>
    <row r="452" ht="14.25" customHeight="1">
      <c r="D452" s="1"/>
    </row>
    <row r="453" ht="14.25" customHeight="1">
      <c r="D453" s="1"/>
    </row>
    <row r="454" ht="14.25" customHeight="1">
      <c r="D454" s="1"/>
    </row>
    <row r="455" ht="14.25" customHeight="1">
      <c r="D455" s="1"/>
    </row>
    <row r="456" ht="14.25" customHeight="1">
      <c r="D456" s="1"/>
    </row>
    <row r="457" ht="14.25" customHeight="1">
      <c r="D457" s="1"/>
    </row>
    <row r="458" ht="14.25" customHeight="1">
      <c r="D458" s="1"/>
    </row>
    <row r="459" ht="14.25" customHeight="1">
      <c r="D459" s="1"/>
    </row>
    <row r="460" ht="14.25" customHeight="1">
      <c r="D460" s="1"/>
    </row>
    <row r="461" ht="14.25" customHeight="1">
      <c r="D461" s="1"/>
    </row>
    <row r="462" ht="14.25" customHeight="1">
      <c r="D462" s="1"/>
    </row>
    <row r="463" ht="14.25" customHeight="1">
      <c r="D463" s="1"/>
    </row>
    <row r="464" ht="14.25" customHeight="1">
      <c r="D464" s="1"/>
    </row>
    <row r="465" ht="14.25" customHeight="1">
      <c r="D465" s="1"/>
    </row>
    <row r="466" ht="14.25" customHeight="1">
      <c r="D466" s="1"/>
    </row>
    <row r="467" ht="14.25" customHeight="1">
      <c r="D467" s="1"/>
    </row>
    <row r="468" ht="14.25" customHeight="1">
      <c r="D468" s="1"/>
    </row>
    <row r="469" ht="14.25" customHeight="1">
      <c r="D469" s="1"/>
    </row>
    <row r="470" ht="14.25" customHeight="1">
      <c r="D470" s="1"/>
    </row>
    <row r="471" ht="14.25" customHeight="1">
      <c r="D471" s="1"/>
    </row>
    <row r="472" ht="14.25" customHeight="1">
      <c r="D472" s="1"/>
    </row>
    <row r="473" ht="14.25" customHeight="1">
      <c r="D473" s="1"/>
    </row>
    <row r="474" ht="14.25" customHeight="1">
      <c r="D474" s="1"/>
    </row>
    <row r="475" ht="14.25" customHeight="1">
      <c r="D475" s="1"/>
    </row>
    <row r="476" ht="14.25" customHeight="1">
      <c r="D476" s="1"/>
    </row>
    <row r="477" ht="14.25" customHeight="1">
      <c r="D477" s="1"/>
    </row>
    <row r="478" ht="14.25" customHeight="1">
      <c r="D478" s="1"/>
    </row>
    <row r="479" ht="14.25" customHeight="1">
      <c r="D479" s="1"/>
    </row>
    <row r="480" ht="14.25" customHeight="1">
      <c r="D480" s="1"/>
    </row>
    <row r="481" ht="14.25" customHeight="1">
      <c r="D481" s="1"/>
    </row>
    <row r="482" ht="14.25" customHeight="1">
      <c r="D482" s="1"/>
    </row>
    <row r="483" ht="14.25" customHeight="1">
      <c r="D483" s="1"/>
    </row>
    <row r="484" ht="14.25" customHeight="1">
      <c r="D484" s="1"/>
    </row>
    <row r="485" ht="14.25" customHeight="1">
      <c r="D485" s="1"/>
    </row>
    <row r="486" ht="14.25" customHeight="1">
      <c r="D486" s="1"/>
    </row>
    <row r="487" ht="14.25" customHeight="1">
      <c r="D487" s="1"/>
    </row>
    <row r="488" ht="14.25" customHeight="1">
      <c r="D488" s="1"/>
    </row>
    <row r="489" ht="14.25" customHeight="1">
      <c r="D489" s="1"/>
    </row>
    <row r="490" ht="14.25" customHeight="1">
      <c r="D490" s="1"/>
    </row>
    <row r="491" ht="14.25" customHeight="1">
      <c r="D491" s="1"/>
    </row>
    <row r="492" ht="14.25" customHeight="1">
      <c r="D492" s="1"/>
    </row>
    <row r="493" ht="14.25" customHeight="1">
      <c r="D493" s="1"/>
    </row>
    <row r="494" ht="14.25" customHeight="1">
      <c r="D494" s="1"/>
    </row>
    <row r="495" ht="14.25" customHeight="1">
      <c r="D495" s="1"/>
    </row>
    <row r="496" ht="14.25" customHeight="1">
      <c r="D496" s="1"/>
    </row>
    <row r="497" ht="14.25" customHeight="1">
      <c r="D497" s="1"/>
    </row>
    <row r="498" ht="14.25" customHeight="1">
      <c r="D498" s="1"/>
    </row>
    <row r="499" ht="14.25" customHeight="1">
      <c r="D499" s="1"/>
    </row>
    <row r="500" ht="14.25" customHeight="1">
      <c r="D500" s="1"/>
    </row>
    <row r="501" ht="14.25" customHeight="1">
      <c r="D501" s="1"/>
    </row>
    <row r="502" ht="14.25" customHeight="1">
      <c r="D502" s="1"/>
    </row>
    <row r="503" ht="14.25" customHeight="1">
      <c r="D503" s="1"/>
    </row>
    <row r="504" ht="14.25" customHeight="1">
      <c r="D504" s="1"/>
    </row>
    <row r="505" ht="14.25" customHeight="1">
      <c r="D505" s="1"/>
    </row>
    <row r="506" ht="14.25" customHeight="1">
      <c r="D506" s="1"/>
    </row>
    <row r="507" ht="14.25" customHeight="1">
      <c r="D507" s="1"/>
    </row>
    <row r="508" ht="14.25" customHeight="1">
      <c r="D508" s="1"/>
    </row>
    <row r="509" ht="14.25" customHeight="1">
      <c r="D509" s="1"/>
    </row>
    <row r="510" ht="14.25" customHeight="1">
      <c r="D510" s="1"/>
    </row>
    <row r="511" ht="14.25" customHeight="1">
      <c r="D511" s="1"/>
    </row>
    <row r="512" ht="14.25" customHeight="1">
      <c r="D512" s="1"/>
    </row>
    <row r="513" ht="14.25" customHeight="1">
      <c r="D513" s="1"/>
    </row>
    <row r="514" ht="14.25" customHeight="1">
      <c r="D514" s="1"/>
    </row>
    <row r="515" ht="14.25" customHeight="1">
      <c r="D515" s="1"/>
    </row>
    <row r="516" ht="14.25" customHeight="1">
      <c r="D516" s="1"/>
    </row>
    <row r="517" ht="14.25" customHeight="1">
      <c r="D517" s="1"/>
    </row>
    <row r="518" ht="14.25" customHeight="1">
      <c r="D518" s="1"/>
    </row>
    <row r="519" ht="14.25" customHeight="1">
      <c r="D519" s="1"/>
    </row>
    <row r="520" ht="14.25" customHeight="1">
      <c r="D520" s="1"/>
    </row>
    <row r="521" ht="14.25" customHeight="1">
      <c r="D521" s="1"/>
    </row>
    <row r="522" ht="14.25" customHeight="1">
      <c r="D522" s="1"/>
    </row>
    <row r="523" ht="14.25" customHeight="1">
      <c r="D523" s="1"/>
    </row>
    <row r="524" ht="14.25" customHeight="1">
      <c r="D524" s="1"/>
    </row>
    <row r="525" ht="14.25" customHeight="1">
      <c r="D525" s="1"/>
    </row>
    <row r="526" ht="14.25" customHeight="1">
      <c r="D526" s="1"/>
    </row>
    <row r="527" ht="14.25" customHeight="1">
      <c r="D527" s="1"/>
    </row>
    <row r="528" ht="14.25" customHeight="1">
      <c r="D528" s="1"/>
    </row>
    <row r="529" ht="14.25" customHeight="1">
      <c r="D529" s="1"/>
    </row>
    <row r="530" ht="14.25" customHeight="1">
      <c r="D530" s="1"/>
    </row>
    <row r="531" ht="14.25" customHeight="1">
      <c r="D531" s="1"/>
    </row>
    <row r="532" ht="14.25" customHeight="1">
      <c r="D532" s="1"/>
    </row>
    <row r="533" ht="14.25" customHeight="1">
      <c r="D533" s="1"/>
    </row>
    <row r="534" ht="14.25" customHeight="1">
      <c r="D534" s="1"/>
    </row>
    <row r="535" ht="14.25" customHeight="1">
      <c r="D535" s="1"/>
    </row>
    <row r="536" ht="14.25" customHeight="1">
      <c r="D536" s="1"/>
    </row>
    <row r="537" ht="14.25" customHeight="1">
      <c r="D537" s="1"/>
    </row>
    <row r="538" ht="14.25" customHeight="1">
      <c r="D538" s="1"/>
    </row>
    <row r="539" ht="14.25" customHeight="1">
      <c r="D539" s="1"/>
    </row>
    <row r="540" ht="14.25" customHeight="1">
      <c r="D540" s="1"/>
    </row>
    <row r="541" ht="14.25" customHeight="1">
      <c r="D541" s="1"/>
    </row>
    <row r="542" ht="14.25" customHeight="1">
      <c r="D542" s="1"/>
    </row>
    <row r="543" ht="14.25" customHeight="1">
      <c r="D543" s="1"/>
    </row>
    <row r="544" ht="14.25" customHeight="1">
      <c r="D544" s="1"/>
    </row>
    <row r="545" ht="14.25" customHeight="1">
      <c r="D545" s="1"/>
    </row>
    <row r="546" ht="14.25" customHeight="1">
      <c r="D546" s="1"/>
    </row>
    <row r="547" ht="14.25" customHeight="1">
      <c r="D547" s="1"/>
    </row>
    <row r="548" ht="14.25" customHeight="1">
      <c r="D548" s="1"/>
    </row>
    <row r="549" ht="14.25" customHeight="1">
      <c r="D549" s="1"/>
    </row>
    <row r="550" ht="14.25" customHeight="1">
      <c r="D550" s="1"/>
    </row>
    <row r="551" ht="14.25" customHeight="1">
      <c r="D551" s="1"/>
    </row>
    <row r="552" ht="14.25" customHeight="1">
      <c r="D552" s="1"/>
    </row>
    <row r="553" ht="14.25" customHeight="1">
      <c r="D553" s="1"/>
    </row>
    <row r="554" ht="14.25" customHeight="1">
      <c r="D554" s="1"/>
    </row>
    <row r="555" ht="14.25" customHeight="1">
      <c r="D555" s="1"/>
    </row>
    <row r="556" ht="14.25" customHeight="1">
      <c r="D556" s="1"/>
    </row>
    <row r="557" ht="14.25" customHeight="1">
      <c r="D557" s="1"/>
    </row>
    <row r="558" ht="14.25" customHeight="1">
      <c r="D558" s="1"/>
    </row>
    <row r="559" ht="14.25" customHeight="1">
      <c r="D559" s="1"/>
    </row>
    <row r="560" ht="14.25" customHeight="1">
      <c r="D560" s="1"/>
    </row>
    <row r="561" ht="14.25" customHeight="1">
      <c r="D561" s="1"/>
    </row>
    <row r="562" ht="14.25" customHeight="1">
      <c r="D562" s="1"/>
    </row>
    <row r="563" ht="14.25" customHeight="1">
      <c r="D563" s="1"/>
    </row>
    <row r="564" ht="14.25" customHeight="1">
      <c r="D564" s="1"/>
    </row>
    <row r="565" ht="14.25" customHeight="1">
      <c r="D565" s="1"/>
    </row>
    <row r="566" ht="14.25" customHeight="1">
      <c r="D566" s="1"/>
    </row>
    <row r="567" ht="14.25" customHeight="1">
      <c r="D567" s="1"/>
    </row>
    <row r="568" ht="14.25" customHeight="1">
      <c r="D568" s="1"/>
    </row>
    <row r="569" ht="14.25" customHeight="1">
      <c r="D569" s="1"/>
    </row>
    <row r="570" ht="14.25" customHeight="1">
      <c r="D570" s="1"/>
    </row>
    <row r="571" ht="14.25" customHeight="1">
      <c r="D571" s="1"/>
    </row>
    <row r="572" ht="14.25" customHeight="1">
      <c r="D572" s="1"/>
    </row>
    <row r="573" ht="14.25" customHeight="1">
      <c r="D573" s="1"/>
    </row>
    <row r="574" ht="14.25" customHeight="1">
      <c r="D574" s="1"/>
    </row>
    <row r="575" ht="14.25" customHeight="1">
      <c r="D575" s="1"/>
    </row>
    <row r="576" ht="14.25" customHeight="1">
      <c r="D576" s="1"/>
    </row>
    <row r="577" ht="14.25" customHeight="1">
      <c r="D577" s="1"/>
    </row>
    <row r="578" ht="14.25" customHeight="1">
      <c r="D578" s="1"/>
    </row>
    <row r="579" ht="14.25" customHeight="1">
      <c r="D579" s="1"/>
    </row>
    <row r="580" ht="14.25" customHeight="1">
      <c r="D580" s="1"/>
    </row>
    <row r="581" ht="14.25" customHeight="1">
      <c r="D581" s="1"/>
    </row>
    <row r="582" ht="14.25" customHeight="1">
      <c r="D582" s="1"/>
    </row>
    <row r="583" ht="14.25" customHeight="1">
      <c r="D583" s="1"/>
    </row>
    <row r="584" ht="14.25" customHeight="1">
      <c r="D584" s="1"/>
    </row>
    <row r="585" ht="14.25" customHeight="1">
      <c r="D585" s="1"/>
    </row>
    <row r="586" ht="14.25" customHeight="1">
      <c r="D586" s="1"/>
    </row>
    <row r="587" ht="14.25" customHeight="1">
      <c r="D587" s="1"/>
    </row>
    <row r="588" ht="14.25" customHeight="1">
      <c r="D588" s="1"/>
    </row>
    <row r="589" ht="14.25" customHeight="1">
      <c r="D589" s="1"/>
    </row>
    <row r="590" ht="14.25" customHeight="1">
      <c r="D590" s="1"/>
    </row>
    <row r="591" ht="14.25" customHeight="1">
      <c r="D591" s="1"/>
    </row>
    <row r="592" ht="14.25" customHeight="1">
      <c r="D592" s="1"/>
    </row>
    <row r="593" ht="14.25" customHeight="1">
      <c r="D593" s="1"/>
    </row>
    <row r="594" ht="14.25" customHeight="1">
      <c r="D594" s="1"/>
    </row>
    <row r="595" ht="14.25" customHeight="1">
      <c r="D595" s="1"/>
    </row>
    <row r="596" ht="14.25" customHeight="1">
      <c r="D596" s="1"/>
    </row>
    <row r="597" ht="14.25" customHeight="1">
      <c r="D597" s="1"/>
    </row>
    <row r="598" ht="14.25" customHeight="1">
      <c r="D598" s="1"/>
    </row>
    <row r="599" ht="14.25" customHeight="1">
      <c r="D599" s="1"/>
    </row>
    <row r="600" ht="14.25" customHeight="1">
      <c r="D600" s="1"/>
    </row>
    <row r="601" ht="14.25" customHeight="1">
      <c r="D601" s="1"/>
    </row>
    <row r="602" ht="14.25" customHeight="1">
      <c r="D602" s="1"/>
    </row>
    <row r="603" ht="14.25" customHeight="1">
      <c r="D603" s="1"/>
    </row>
    <row r="604" ht="14.25" customHeight="1">
      <c r="D604" s="1"/>
    </row>
    <row r="605" ht="14.25" customHeight="1">
      <c r="D605" s="1"/>
    </row>
    <row r="606" ht="14.25" customHeight="1">
      <c r="D606" s="1"/>
    </row>
    <row r="607" ht="14.25" customHeight="1">
      <c r="D607" s="1"/>
    </row>
    <row r="608" ht="14.25" customHeight="1">
      <c r="D608" s="1"/>
    </row>
    <row r="609" ht="14.25" customHeight="1">
      <c r="D609" s="1"/>
    </row>
    <row r="610" ht="14.25" customHeight="1">
      <c r="D610" s="1"/>
    </row>
    <row r="611" ht="14.25" customHeight="1">
      <c r="D611" s="1"/>
    </row>
    <row r="612" ht="14.25" customHeight="1">
      <c r="D612" s="1"/>
    </row>
    <row r="613" ht="14.25" customHeight="1">
      <c r="D613" s="1"/>
    </row>
    <row r="614" ht="14.25" customHeight="1">
      <c r="D614" s="1"/>
    </row>
    <row r="615" ht="14.25" customHeight="1">
      <c r="D615" s="1"/>
    </row>
    <row r="616" ht="14.25" customHeight="1">
      <c r="D616" s="1"/>
    </row>
    <row r="617" ht="14.25" customHeight="1">
      <c r="D617" s="1"/>
    </row>
    <row r="618" ht="14.25" customHeight="1">
      <c r="D618" s="1"/>
    </row>
    <row r="619" ht="14.25" customHeight="1">
      <c r="D619" s="1"/>
    </row>
    <row r="620" ht="14.25" customHeight="1">
      <c r="D620" s="1"/>
    </row>
    <row r="621" ht="14.25" customHeight="1">
      <c r="D621" s="1"/>
    </row>
    <row r="622" ht="14.25" customHeight="1">
      <c r="D622" s="1"/>
    </row>
    <row r="623" ht="14.25" customHeight="1">
      <c r="D623" s="1"/>
    </row>
    <row r="624" ht="14.25" customHeight="1">
      <c r="D624" s="1"/>
    </row>
    <row r="625" ht="14.25" customHeight="1">
      <c r="D625" s="1"/>
    </row>
    <row r="626" ht="14.25" customHeight="1">
      <c r="D626" s="1"/>
    </row>
    <row r="627" ht="14.25" customHeight="1">
      <c r="D627" s="1"/>
    </row>
    <row r="628" ht="14.25" customHeight="1">
      <c r="D628" s="1"/>
    </row>
    <row r="629" ht="14.25" customHeight="1">
      <c r="D629" s="1"/>
    </row>
    <row r="630" ht="14.25" customHeight="1">
      <c r="D630" s="1"/>
    </row>
    <row r="631" ht="14.25" customHeight="1">
      <c r="D631" s="1"/>
    </row>
    <row r="632" ht="14.25" customHeight="1">
      <c r="D632" s="1"/>
    </row>
    <row r="633" ht="14.25" customHeight="1">
      <c r="D633" s="1"/>
    </row>
    <row r="634" ht="14.25" customHeight="1">
      <c r="D634" s="1"/>
    </row>
    <row r="635" ht="14.25" customHeight="1">
      <c r="D635" s="1"/>
    </row>
    <row r="636" ht="14.25" customHeight="1">
      <c r="D636" s="1"/>
    </row>
    <row r="637" ht="14.25" customHeight="1">
      <c r="D637" s="1"/>
    </row>
    <row r="638" ht="14.25" customHeight="1">
      <c r="D638" s="1"/>
    </row>
    <row r="639" ht="14.25" customHeight="1">
      <c r="D639" s="1"/>
    </row>
    <row r="640" ht="14.25" customHeight="1">
      <c r="D640" s="1"/>
    </row>
    <row r="641" ht="14.25" customHeight="1">
      <c r="D641" s="1"/>
    </row>
    <row r="642" ht="14.25" customHeight="1">
      <c r="D642" s="1"/>
    </row>
    <row r="643" ht="14.25" customHeight="1">
      <c r="D643" s="1"/>
    </row>
    <row r="644" ht="14.25" customHeight="1">
      <c r="D644" s="1"/>
    </row>
    <row r="645" ht="14.25" customHeight="1">
      <c r="D645" s="1"/>
    </row>
    <row r="646" ht="14.25" customHeight="1">
      <c r="D646" s="1"/>
    </row>
    <row r="647" ht="14.25" customHeight="1">
      <c r="D647" s="1"/>
    </row>
    <row r="648" ht="14.25" customHeight="1">
      <c r="D648" s="1"/>
    </row>
    <row r="649" ht="14.25" customHeight="1">
      <c r="D649" s="1"/>
    </row>
    <row r="650" ht="14.25" customHeight="1">
      <c r="D650" s="1"/>
    </row>
    <row r="651" ht="14.25" customHeight="1">
      <c r="D651" s="1"/>
    </row>
    <row r="652" ht="14.25" customHeight="1">
      <c r="D652" s="1"/>
    </row>
    <row r="653" ht="14.25" customHeight="1">
      <c r="D653" s="1"/>
    </row>
    <row r="654" ht="14.25" customHeight="1">
      <c r="D654" s="1"/>
    </row>
    <row r="655" ht="14.25" customHeight="1">
      <c r="D655" s="1"/>
    </row>
    <row r="656" ht="14.25" customHeight="1">
      <c r="D656" s="1"/>
    </row>
    <row r="657" ht="14.25" customHeight="1">
      <c r="D657" s="1"/>
    </row>
    <row r="658" ht="14.25" customHeight="1">
      <c r="D658" s="1"/>
    </row>
    <row r="659" ht="14.25" customHeight="1">
      <c r="D659" s="1"/>
    </row>
    <row r="660" ht="14.25" customHeight="1">
      <c r="D660" s="1"/>
    </row>
    <row r="661" ht="14.25" customHeight="1">
      <c r="D661" s="1"/>
    </row>
    <row r="662" ht="14.25" customHeight="1">
      <c r="D662" s="1"/>
    </row>
    <row r="663" ht="14.25" customHeight="1">
      <c r="D663" s="1"/>
    </row>
    <row r="664" ht="14.25" customHeight="1">
      <c r="D664" s="1"/>
    </row>
    <row r="665" ht="14.25" customHeight="1">
      <c r="D665" s="1"/>
    </row>
    <row r="666" ht="14.25" customHeight="1">
      <c r="D666" s="1"/>
    </row>
    <row r="667" ht="14.25" customHeight="1">
      <c r="D667" s="1"/>
    </row>
    <row r="668" ht="14.25" customHeight="1">
      <c r="D668" s="1"/>
    </row>
    <row r="669" ht="14.25" customHeight="1">
      <c r="D669" s="1"/>
    </row>
    <row r="670" ht="14.25" customHeight="1">
      <c r="D670" s="1"/>
    </row>
    <row r="671" ht="14.25" customHeight="1">
      <c r="D671" s="1"/>
    </row>
    <row r="672" ht="14.25" customHeight="1">
      <c r="D672" s="1"/>
    </row>
    <row r="673" ht="14.25" customHeight="1">
      <c r="D673" s="1"/>
    </row>
    <row r="674" ht="14.25" customHeight="1">
      <c r="D674" s="1"/>
    </row>
    <row r="675" ht="14.25" customHeight="1">
      <c r="D675" s="1"/>
    </row>
    <row r="676" ht="14.25" customHeight="1">
      <c r="D676" s="1"/>
    </row>
    <row r="677" ht="14.25" customHeight="1">
      <c r="D677" s="1"/>
    </row>
    <row r="678" ht="14.25" customHeight="1">
      <c r="D678" s="1"/>
    </row>
    <row r="679" ht="14.25" customHeight="1">
      <c r="D679" s="1"/>
    </row>
    <row r="680" ht="14.25" customHeight="1">
      <c r="D680" s="1"/>
    </row>
    <row r="681" ht="14.25" customHeight="1">
      <c r="D681" s="1"/>
    </row>
    <row r="682" ht="14.25" customHeight="1">
      <c r="D682" s="1"/>
    </row>
    <row r="683" ht="14.25" customHeight="1">
      <c r="D683" s="1"/>
    </row>
    <row r="684" ht="14.25" customHeight="1">
      <c r="D684" s="1"/>
    </row>
    <row r="685" ht="14.25" customHeight="1">
      <c r="D685" s="1"/>
    </row>
    <row r="686" ht="14.25" customHeight="1">
      <c r="D686" s="1"/>
    </row>
    <row r="687" ht="14.25" customHeight="1">
      <c r="D687" s="1"/>
    </row>
    <row r="688" ht="14.25" customHeight="1">
      <c r="D688" s="1"/>
    </row>
    <row r="689" ht="14.25" customHeight="1">
      <c r="D689" s="1"/>
    </row>
    <row r="690" ht="14.25" customHeight="1">
      <c r="D690" s="1"/>
    </row>
    <row r="691" ht="14.25" customHeight="1">
      <c r="D691" s="1"/>
    </row>
    <row r="692" ht="14.25" customHeight="1">
      <c r="D692" s="1"/>
    </row>
    <row r="693" ht="14.25" customHeight="1">
      <c r="D693" s="1"/>
    </row>
    <row r="694" ht="14.25" customHeight="1">
      <c r="D694" s="1"/>
    </row>
    <row r="695" ht="14.25" customHeight="1">
      <c r="D695" s="1"/>
    </row>
    <row r="696" ht="14.25" customHeight="1">
      <c r="D696" s="1"/>
    </row>
    <row r="697" ht="14.25" customHeight="1">
      <c r="D697" s="1"/>
    </row>
    <row r="698" ht="14.25" customHeight="1">
      <c r="D698" s="1"/>
    </row>
    <row r="699" ht="14.25" customHeight="1">
      <c r="D699" s="1"/>
    </row>
    <row r="700" ht="14.25" customHeight="1">
      <c r="D700" s="1"/>
    </row>
    <row r="701" ht="14.25" customHeight="1">
      <c r="D701" s="1"/>
    </row>
    <row r="702" ht="14.25" customHeight="1">
      <c r="D702" s="1"/>
    </row>
    <row r="703" ht="14.25" customHeight="1">
      <c r="D703" s="1"/>
    </row>
    <row r="704" ht="14.25" customHeight="1">
      <c r="D704" s="1"/>
    </row>
    <row r="705" ht="14.25" customHeight="1">
      <c r="D705" s="1"/>
    </row>
    <row r="706" ht="14.25" customHeight="1">
      <c r="D706" s="1"/>
    </row>
    <row r="707" ht="14.25" customHeight="1">
      <c r="D707" s="1"/>
    </row>
    <row r="708" ht="14.25" customHeight="1">
      <c r="D708" s="1"/>
    </row>
    <row r="709" ht="14.25" customHeight="1">
      <c r="D709" s="1"/>
    </row>
    <row r="710" ht="14.25" customHeight="1">
      <c r="D710" s="1"/>
    </row>
    <row r="711" ht="14.25" customHeight="1">
      <c r="D711" s="1"/>
    </row>
    <row r="712" ht="14.25" customHeight="1">
      <c r="D712" s="1"/>
    </row>
    <row r="713" ht="14.25" customHeight="1">
      <c r="D713" s="1"/>
    </row>
    <row r="714" ht="14.25" customHeight="1">
      <c r="D714" s="1"/>
    </row>
    <row r="715" ht="14.25" customHeight="1">
      <c r="D715" s="1"/>
    </row>
    <row r="716" ht="14.25" customHeight="1">
      <c r="D716" s="1"/>
    </row>
    <row r="717" ht="14.25" customHeight="1">
      <c r="D717" s="1"/>
    </row>
    <row r="718" ht="14.25" customHeight="1">
      <c r="D718" s="1"/>
    </row>
    <row r="719" ht="14.25" customHeight="1">
      <c r="D719" s="1"/>
    </row>
    <row r="720" ht="14.25" customHeight="1">
      <c r="D720" s="1"/>
    </row>
    <row r="721" ht="14.25" customHeight="1">
      <c r="D721" s="1"/>
    </row>
    <row r="722" ht="14.25" customHeight="1">
      <c r="D722" s="1"/>
    </row>
    <row r="723" ht="14.25" customHeight="1">
      <c r="D723" s="1"/>
    </row>
    <row r="724" ht="14.25" customHeight="1">
      <c r="D724" s="1"/>
    </row>
    <row r="725" ht="14.25" customHeight="1">
      <c r="D725" s="1"/>
    </row>
    <row r="726" ht="14.25" customHeight="1">
      <c r="D726" s="1"/>
    </row>
    <row r="727" ht="14.25" customHeight="1">
      <c r="D727" s="1"/>
    </row>
    <row r="728" ht="14.25" customHeight="1">
      <c r="D728" s="1"/>
    </row>
    <row r="729" ht="14.25" customHeight="1">
      <c r="D729" s="1"/>
    </row>
    <row r="730" ht="14.25" customHeight="1">
      <c r="D730" s="1"/>
    </row>
    <row r="731" ht="14.25" customHeight="1">
      <c r="D731" s="1"/>
    </row>
    <row r="732" ht="14.25" customHeight="1">
      <c r="D732" s="1"/>
    </row>
    <row r="733" ht="14.25" customHeight="1">
      <c r="D733" s="1"/>
    </row>
    <row r="734" ht="14.25" customHeight="1">
      <c r="D734" s="1"/>
    </row>
    <row r="735" ht="14.25" customHeight="1">
      <c r="D735" s="1"/>
    </row>
    <row r="736" ht="14.25" customHeight="1">
      <c r="D736" s="1"/>
    </row>
    <row r="737" ht="14.25" customHeight="1">
      <c r="D737" s="1"/>
    </row>
    <row r="738" ht="14.25" customHeight="1">
      <c r="D738" s="1"/>
    </row>
    <row r="739" ht="14.25" customHeight="1">
      <c r="D739" s="1"/>
    </row>
    <row r="740" ht="14.25" customHeight="1">
      <c r="D740" s="1"/>
    </row>
    <row r="741" ht="14.25" customHeight="1">
      <c r="D741" s="1"/>
    </row>
    <row r="742" ht="14.25" customHeight="1">
      <c r="D742" s="1"/>
    </row>
    <row r="743" ht="14.25" customHeight="1">
      <c r="D743" s="1"/>
    </row>
    <row r="744" ht="14.25" customHeight="1">
      <c r="D744" s="1"/>
    </row>
    <row r="745" ht="14.25" customHeight="1">
      <c r="D745" s="1"/>
    </row>
    <row r="746" ht="14.25" customHeight="1">
      <c r="D746" s="1"/>
    </row>
    <row r="747" ht="14.25" customHeight="1">
      <c r="D747" s="1"/>
    </row>
    <row r="748" ht="14.25" customHeight="1">
      <c r="D748" s="1"/>
    </row>
    <row r="749" ht="14.25" customHeight="1">
      <c r="D749" s="1"/>
    </row>
    <row r="750" ht="14.25" customHeight="1">
      <c r="D750" s="1"/>
    </row>
    <row r="751" ht="14.25" customHeight="1">
      <c r="D751" s="1"/>
    </row>
    <row r="752" ht="14.25" customHeight="1">
      <c r="D752" s="1"/>
    </row>
    <row r="753" ht="14.25" customHeight="1">
      <c r="D753" s="1"/>
    </row>
    <row r="754" ht="14.25" customHeight="1">
      <c r="D754" s="1"/>
    </row>
    <row r="755" ht="14.25" customHeight="1">
      <c r="D755" s="1"/>
    </row>
    <row r="756" ht="14.25" customHeight="1">
      <c r="D756" s="1"/>
    </row>
    <row r="757" ht="14.25" customHeight="1">
      <c r="D757" s="1"/>
    </row>
    <row r="758" ht="14.25" customHeight="1">
      <c r="D758" s="1"/>
    </row>
    <row r="759" ht="14.25" customHeight="1">
      <c r="D759" s="1"/>
    </row>
    <row r="760" ht="14.25" customHeight="1">
      <c r="D760" s="1"/>
    </row>
    <row r="761" ht="14.25" customHeight="1">
      <c r="D761" s="1"/>
    </row>
    <row r="762" ht="14.25" customHeight="1">
      <c r="D762" s="1"/>
    </row>
    <row r="763" ht="14.25" customHeight="1">
      <c r="D763" s="1"/>
    </row>
    <row r="764" ht="14.25" customHeight="1">
      <c r="D764" s="1"/>
    </row>
    <row r="765" ht="14.25" customHeight="1">
      <c r="D765" s="1"/>
    </row>
    <row r="766" ht="14.25" customHeight="1">
      <c r="D766" s="1"/>
    </row>
    <row r="767" ht="14.25" customHeight="1">
      <c r="D767" s="1"/>
    </row>
    <row r="768" ht="14.25" customHeight="1">
      <c r="D768" s="1"/>
    </row>
    <row r="769" ht="14.25" customHeight="1">
      <c r="D769" s="1"/>
    </row>
    <row r="770" ht="14.25" customHeight="1">
      <c r="D770" s="1"/>
    </row>
    <row r="771" ht="14.25" customHeight="1">
      <c r="D771" s="1"/>
    </row>
    <row r="772" ht="14.25" customHeight="1">
      <c r="D772" s="1"/>
    </row>
    <row r="773" ht="14.25" customHeight="1">
      <c r="D773" s="1"/>
    </row>
    <row r="774" ht="14.25" customHeight="1">
      <c r="D774" s="1"/>
    </row>
    <row r="775" ht="14.25" customHeight="1">
      <c r="D775" s="1"/>
    </row>
    <row r="776" ht="14.25" customHeight="1">
      <c r="D776" s="1"/>
    </row>
    <row r="777" ht="14.25" customHeight="1">
      <c r="D777" s="1"/>
    </row>
    <row r="778" ht="14.25" customHeight="1">
      <c r="D778" s="1"/>
    </row>
    <row r="779" ht="14.25" customHeight="1">
      <c r="D779" s="1"/>
    </row>
    <row r="780" ht="14.25" customHeight="1">
      <c r="D780" s="1"/>
    </row>
    <row r="781" ht="14.25" customHeight="1">
      <c r="D781" s="1"/>
    </row>
    <row r="782" ht="14.25" customHeight="1">
      <c r="D782" s="1"/>
    </row>
    <row r="783" ht="14.25" customHeight="1">
      <c r="D783" s="1"/>
    </row>
    <row r="784" ht="14.25" customHeight="1">
      <c r="D784" s="1"/>
    </row>
    <row r="785" ht="14.25" customHeight="1">
      <c r="D785" s="1"/>
    </row>
    <row r="786" ht="14.25" customHeight="1">
      <c r="D786" s="1"/>
    </row>
    <row r="787" ht="14.25" customHeight="1">
      <c r="D787" s="1"/>
    </row>
    <row r="788" ht="14.25" customHeight="1">
      <c r="D788" s="1"/>
    </row>
    <row r="789" ht="14.25" customHeight="1">
      <c r="D789" s="1"/>
    </row>
    <row r="790" ht="14.25" customHeight="1">
      <c r="D790" s="1"/>
    </row>
    <row r="791" ht="14.25" customHeight="1">
      <c r="D791" s="1"/>
    </row>
    <row r="792" ht="14.25" customHeight="1">
      <c r="D792" s="1"/>
    </row>
    <row r="793" ht="14.25" customHeight="1">
      <c r="D793" s="1"/>
    </row>
    <row r="794" ht="14.25" customHeight="1">
      <c r="D794" s="1"/>
    </row>
    <row r="795" ht="14.25" customHeight="1">
      <c r="D795" s="1"/>
    </row>
    <row r="796" ht="14.25" customHeight="1">
      <c r="D796" s="1"/>
    </row>
    <row r="797" ht="14.25" customHeight="1">
      <c r="D797" s="1"/>
    </row>
    <row r="798" ht="14.25" customHeight="1">
      <c r="D798" s="1"/>
    </row>
    <row r="799" ht="14.25" customHeight="1">
      <c r="D799" s="1"/>
    </row>
    <row r="800" ht="14.25" customHeight="1">
      <c r="D800" s="1"/>
    </row>
    <row r="801" ht="14.25" customHeight="1">
      <c r="D801" s="1"/>
    </row>
    <row r="802" ht="14.25" customHeight="1">
      <c r="D802" s="1"/>
    </row>
    <row r="803" ht="14.25" customHeight="1">
      <c r="D803" s="1"/>
    </row>
    <row r="804" ht="14.25" customHeight="1">
      <c r="D804" s="1"/>
    </row>
    <row r="805" ht="14.25" customHeight="1">
      <c r="D805" s="1"/>
    </row>
    <row r="806" ht="14.25" customHeight="1">
      <c r="D806" s="1"/>
    </row>
    <row r="807" ht="14.25" customHeight="1">
      <c r="D807" s="1"/>
    </row>
    <row r="808" ht="14.25" customHeight="1">
      <c r="D808" s="1"/>
    </row>
    <row r="809" ht="14.25" customHeight="1">
      <c r="D809" s="1"/>
    </row>
    <row r="810" ht="14.25" customHeight="1">
      <c r="D810" s="1"/>
    </row>
    <row r="811" ht="14.25" customHeight="1">
      <c r="D811" s="1"/>
    </row>
    <row r="812" ht="14.25" customHeight="1">
      <c r="D812" s="1"/>
    </row>
    <row r="813" ht="14.25" customHeight="1">
      <c r="D813" s="1"/>
    </row>
    <row r="814" ht="14.25" customHeight="1">
      <c r="D814" s="1"/>
    </row>
    <row r="815" ht="14.25" customHeight="1">
      <c r="D815" s="1"/>
    </row>
    <row r="816" ht="14.25" customHeight="1">
      <c r="D816" s="1"/>
    </row>
    <row r="817" ht="14.25" customHeight="1">
      <c r="D817" s="1"/>
    </row>
    <row r="818" ht="14.25" customHeight="1">
      <c r="D818" s="1"/>
    </row>
    <row r="819" ht="14.25" customHeight="1">
      <c r="D819" s="1"/>
    </row>
    <row r="820" ht="14.25" customHeight="1">
      <c r="D820" s="1"/>
    </row>
    <row r="821" ht="14.25" customHeight="1">
      <c r="D821" s="1"/>
    </row>
    <row r="822" ht="14.25" customHeight="1">
      <c r="D822" s="1"/>
    </row>
    <row r="823" ht="14.25" customHeight="1">
      <c r="D823" s="1"/>
    </row>
    <row r="824" ht="14.25" customHeight="1">
      <c r="D824" s="1"/>
    </row>
    <row r="825" ht="14.25" customHeight="1">
      <c r="D825" s="1"/>
    </row>
    <row r="826" ht="14.25" customHeight="1">
      <c r="D826" s="1"/>
    </row>
    <row r="827" ht="14.25" customHeight="1">
      <c r="D827" s="1"/>
    </row>
    <row r="828" ht="14.25" customHeight="1">
      <c r="D828" s="1"/>
    </row>
    <row r="829" ht="14.25" customHeight="1">
      <c r="D829" s="1"/>
    </row>
    <row r="830" ht="14.25" customHeight="1">
      <c r="D830" s="1"/>
    </row>
    <row r="831" ht="14.25" customHeight="1">
      <c r="D831" s="1"/>
    </row>
    <row r="832" ht="14.25" customHeight="1">
      <c r="D832" s="1"/>
    </row>
    <row r="833" ht="14.25" customHeight="1">
      <c r="D833" s="1"/>
    </row>
    <row r="834" ht="14.25" customHeight="1">
      <c r="D834" s="1"/>
    </row>
    <row r="835" ht="14.25" customHeight="1">
      <c r="D835" s="1"/>
    </row>
    <row r="836" ht="14.25" customHeight="1">
      <c r="D836" s="1"/>
    </row>
    <row r="837" ht="14.25" customHeight="1">
      <c r="D837" s="1"/>
    </row>
    <row r="838" ht="14.25" customHeight="1">
      <c r="D838" s="1"/>
    </row>
    <row r="839" ht="14.25" customHeight="1">
      <c r="D839" s="1"/>
    </row>
    <row r="840" ht="14.25" customHeight="1">
      <c r="D840" s="1"/>
    </row>
    <row r="841" ht="14.25" customHeight="1">
      <c r="D841" s="1"/>
    </row>
    <row r="842" ht="14.25" customHeight="1">
      <c r="D842" s="1"/>
    </row>
    <row r="843" ht="14.25" customHeight="1">
      <c r="D843" s="1"/>
    </row>
    <row r="844" ht="14.25" customHeight="1">
      <c r="D844" s="1"/>
    </row>
    <row r="845" ht="14.25" customHeight="1">
      <c r="D845" s="1"/>
    </row>
    <row r="846" ht="14.25" customHeight="1">
      <c r="D846" s="1"/>
    </row>
    <row r="847" ht="14.25" customHeight="1">
      <c r="D847" s="1"/>
    </row>
    <row r="848" ht="14.25" customHeight="1">
      <c r="D848" s="1"/>
    </row>
    <row r="849" ht="14.25" customHeight="1">
      <c r="D849" s="1"/>
    </row>
    <row r="850" ht="14.25" customHeight="1">
      <c r="D850" s="1"/>
    </row>
    <row r="851" ht="14.25" customHeight="1">
      <c r="D851" s="1"/>
    </row>
    <row r="852" ht="14.25" customHeight="1">
      <c r="D852" s="1"/>
    </row>
    <row r="853" ht="14.25" customHeight="1">
      <c r="D853" s="1"/>
    </row>
    <row r="854" ht="14.25" customHeight="1">
      <c r="D854" s="1"/>
    </row>
    <row r="855" ht="14.25" customHeight="1">
      <c r="D855" s="1"/>
    </row>
    <row r="856" ht="14.25" customHeight="1">
      <c r="D856" s="1"/>
    </row>
    <row r="857" ht="14.25" customHeight="1">
      <c r="D857" s="1"/>
    </row>
    <row r="858" ht="14.25" customHeight="1">
      <c r="D858" s="1"/>
    </row>
    <row r="859" ht="14.25" customHeight="1">
      <c r="D859" s="1"/>
    </row>
    <row r="860" ht="14.25" customHeight="1">
      <c r="D860" s="1"/>
    </row>
    <row r="861" ht="14.25" customHeight="1">
      <c r="D861" s="1"/>
    </row>
    <row r="862" ht="14.25" customHeight="1">
      <c r="D862" s="1"/>
    </row>
    <row r="863" ht="14.25" customHeight="1">
      <c r="D863" s="1"/>
    </row>
    <row r="864" ht="14.25" customHeight="1">
      <c r="D864" s="1"/>
    </row>
    <row r="865" ht="14.25" customHeight="1">
      <c r="D865" s="1"/>
    </row>
    <row r="866" ht="14.25" customHeight="1">
      <c r="D866" s="1"/>
    </row>
    <row r="867" ht="14.25" customHeight="1">
      <c r="D867" s="1"/>
    </row>
    <row r="868" ht="14.25" customHeight="1">
      <c r="D868" s="1"/>
    </row>
    <row r="869" ht="14.25" customHeight="1">
      <c r="D869" s="1"/>
    </row>
    <row r="870" ht="14.25" customHeight="1">
      <c r="D870" s="1"/>
    </row>
    <row r="871" ht="14.25" customHeight="1">
      <c r="D871" s="1"/>
    </row>
    <row r="872" ht="14.25" customHeight="1">
      <c r="D872" s="1"/>
    </row>
    <row r="873" ht="14.25" customHeight="1">
      <c r="D873" s="1"/>
    </row>
    <row r="874" ht="14.25" customHeight="1">
      <c r="D874" s="1"/>
    </row>
    <row r="875" ht="14.25" customHeight="1">
      <c r="D875" s="1"/>
    </row>
    <row r="876" ht="14.25" customHeight="1">
      <c r="D876" s="1"/>
    </row>
    <row r="877" ht="14.25" customHeight="1">
      <c r="D877" s="1"/>
    </row>
    <row r="878" ht="14.25" customHeight="1">
      <c r="D878" s="1"/>
    </row>
    <row r="879" ht="14.25" customHeight="1">
      <c r="D879" s="1"/>
    </row>
    <row r="880" ht="14.25" customHeight="1">
      <c r="D880" s="1"/>
    </row>
    <row r="881" ht="14.25" customHeight="1">
      <c r="D881" s="1"/>
    </row>
    <row r="882" ht="14.25" customHeight="1">
      <c r="D882" s="1"/>
    </row>
    <row r="883" ht="14.25" customHeight="1">
      <c r="D883" s="1"/>
    </row>
    <row r="884" ht="14.25" customHeight="1">
      <c r="D884" s="1"/>
    </row>
    <row r="885" ht="14.25" customHeight="1">
      <c r="D885" s="1"/>
    </row>
    <row r="886" ht="14.25" customHeight="1">
      <c r="D886" s="1"/>
    </row>
    <row r="887" ht="14.25" customHeight="1">
      <c r="D887" s="1"/>
    </row>
    <row r="888" ht="14.25" customHeight="1">
      <c r="D888" s="1"/>
    </row>
    <row r="889" ht="14.25" customHeight="1">
      <c r="D889" s="1"/>
    </row>
    <row r="890" ht="14.25" customHeight="1">
      <c r="D890" s="1"/>
    </row>
    <row r="891" ht="14.25" customHeight="1">
      <c r="D891" s="1"/>
    </row>
    <row r="892" ht="14.25" customHeight="1">
      <c r="D892" s="1"/>
    </row>
    <row r="893" ht="14.25" customHeight="1">
      <c r="D893" s="1"/>
    </row>
    <row r="894" ht="14.25" customHeight="1">
      <c r="D894" s="1"/>
    </row>
    <row r="895" ht="14.25" customHeight="1">
      <c r="D895" s="1"/>
    </row>
    <row r="896" ht="14.25" customHeight="1">
      <c r="D896" s="1"/>
    </row>
    <row r="897" ht="14.25" customHeight="1">
      <c r="D897" s="1"/>
    </row>
    <row r="898" ht="14.25" customHeight="1">
      <c r="D898" s="1"/>
    </row>
    <row r="899" ht="14.25" customHeight="1">
      <c r="D899" s="1"/>
    </row>
    <row r="900" ht="14.25" customHeight="1">
      <c r="D900" s="1"/>
    </row>
    <row r="901" ht="14.25" customHeight="1">
      <c r="D901" s="1"/>
    </row>
    <row r="902" ht="14.25" customHeight="1">
      <c r="D902" s="1"/>
    </row>
    <row r="903" ht="14.25" customHeight="1">
      <c r="D903" s="1"/>
    </row>
    <row r="904" ht="14.25" customHeight="1">
      <c r="D904" s="1"/>
    </row>
    <row r="905" ht="14.25" customHeight="1">
      <c r="D905" s="1"/>
    </row>
    <row r="906" ht="14.25" customHeight="1">
      <c r="D906" s="1"/>
    </row>
    <row r="907" ht="14.25" customHeight="1">
      <c r="D907" s="1"/>
    </row>
    <row r="908" ht="14.25" customHeight="1">
      <c r="D908" s="1"/>
    </row>
    <row r="909" ht="14.25" customHeight="1">
      <c r="D909" s="1"/>
    </row>
    <row r="910" ht="14.25" customHeight="1">
      <c r="D910" s="1"/>
    </row>
    <row r="911" ht="14.25" customHeight="1">
      <c r="D911" s="1"/>
    </row>
    <row r="912" ht="14.25" customHeight="1">
      <c r="D912" s="1"/>
    </row>
    <row r="913" ht="14.25" customHeight="1">
      <c r="D913" s="1"/>
    </row>
    <row r="914" ht="14.25" customHeight="1">
      <c r="D914" s="1"/>
    </row>
    <row r="915" ht="14.25" customHeight="1">
      <c r="D915" s="1"/>
    </row>
    <row r="916" ht="14.25" customHeight="1">
      <c r="D916" s="1"/>
    </row>
    <row r="917" ht="14.25" customHeight="1">
      <c r="D917" s="1"/>
    </row>
    <row r="918" ht="14.25" customHeight="1">
      <c r="D918" s="1"/>
    </row>
    <row r="919" ht="14.25" customHeight="1">
      <c r="D919" s="1"/>
    </row>
    <row r="920" ht="14.25" customHeight="1">
      <c r="D920" s="1"/>
    </row>
    <row r="921" ht="14.25" customHeight="1">
      <c r="D921" s="1"/>
    </row>
    <row r="922" ht="14.25" customHeight="1">
      <c r="D922" s="1"/>
    </row>
    <row r="923" ht="14.25" customHeight="1">
      <c r="D923" s="1"/>
    </row>
    <row r="924" ht="14.25" customHeight="1">
      <c r="D924" s="1"/>
    </row>
    <row r="925" ht="14.25" customHeight="1">
      <c r="D925" s="1"/>
    </row>
    <row r="926" ht="14.25" customHeight="1">
      <c r="D926" s="1"/>
    </row>
    <row r="927" ht="14.25" customHeight="1">
      <c r="D927" s="1"/>
    </row>
    <row r="928" ht="14.25" customHeight="1">
      <c r="D928" s="1"/>
    </row>
    <row r="929" ht="14.25" customHeight="1">
      <c r="D929" s="1"/>
    </row>
    <row r="930" ht="14.25" customHeight="1">
      <c r="D930" s="1"/>
    </row>
    <row r="931" ht="14.25" customHeight="1">
      <c r="D931" s="1"/>
    </row>
    <row r="932" ht="14.25" customHeight="1">
      <c r="D932" s="1"/>
    </row>
    <row r="933" ht="14.25" customHeight="1">
      <c r="D933" s="1"/>
    </row>
    <row r="934" ht="14.25" customHeight="1">
      <c r="D934" s="1"/>
    </row>
    <row r="935" ht="14.25" customHeight="1">
      <c r="D935" s="1"/>
    </row>
    <row r="936" ht="14.25" customHeight="1">
      <c r="D936" s="1"/>
    </row>
    <row r="937" ht="14.25" customHeight="1">
      <c r="D937" s="1"/>
    </row>
    <row r="938" ht="14.25" customHeight="1">
      <c r="D938" s="1"/>
    </row>
    <row r="939" ht="14.25" customHeight="1">
      <c r="D939" s="1"/>
    </row>
    <row r="940" ht="14.25" customHeight="1">
      <c r="D940" s="1"/>
    </row>
    <row r="941" ht="14.25" customHeight="1">
      <c r="D941" s="1"/>
    </row>
    <row r="942" ht="14.25" customHeight="1">
      <c r="D942" s="1"/>
    </row>
    <row r="943" ht="14.25" customHeight="1">
      <c r="D943" s="1"/>
    </row>
    <row r="944" ht="14.25" customHeight="1">
      <c r="D944" s="1"/>
    </row>
    <row r="945" ht="14.25" customHeight="1">
      <c r="D945" s="1"/>
    </row>
    <row r="946" ht="14.25" customHeight="1">
      <c r="D946" s="1"/>
    </row>
    <row r="947" ht="14.25" customHeight="1">
      <c r="D947" s="1"/>
    </row>
    <row r="948" ht="14.25" customHeight="1">
      <c r="D948" s="1"/>
    </row>
    <row r="949" ht="14.25" customHeight="1">
      <c r="D949" s="1"/>
    </row>
    <row r="950" ht="14.25" customHeight="1">
      <c r="D950" s="1"/>
    </row>
    <row r="951" ht="14.25" customHeight="1">
      <c r="D951" s="1"/>
    </row>
    <row r="952" ht="14.25" customHeight="1">
      <c r="D952" s="1"/>
    </row>
    <row r="953" ht="14.25" customHeight="1">
      <c r="D953" s="1"/>
    </row>
    <row r="954" ht="14.25" customHeight="1">
      <c r="D954" s="1"/>
    </row>
    <row r="955" ht="14.25" customHeight="1">
      <c r="D955" s="1"/>
    </row>
    <row r="956" ht="14.25" customHeight="1">
      <c r="D956" s="1"/>
    </row>
    <row r="957" ht="14.25" customHeight="1">
      <c r="D957" s="1"/>
    </row>
    <row r="958" ht="14.25" customHeight="1">
      <c r="D958" s="1"/>
    </row>
    <row r="959" ht="14.25" customHeight="1">
      <c r="D959" s="1"/>
    </row>
    <row r="960" ht="14.25" customHeight="1">
      <c r="D960" s="1"/>
    </row>
    <row r="961" ht="14.25" customHeight="1">
      <c r="D961" s="1"/>
    </row>
    <row r="962" ht="14.25" customHeight="1">
      <c r="D962" s="1"/>
    </row>
    <row r="963" ht="14.25" customHeight="1">
      <c r="D963" s="1"/>
    </row>
    <row r="964" ht="14.25" customHeight="1">
      <c r="D964" s="1"/>
    </row>
    <row r="965" ht="14.25" customHeight="1">
      <c r="D965" s="1"/>
    </row>
    <row r="966" ht="14.25" customHeight="1">
      <c r="D966" s="1"/>
    </row>
    <row r="967" ht="14.25" customHeight="1">
      <c r="D967" s="1"/>
    </row>
    <row r="968" ht="14.25" customHeight="1">
      <c r="D968" s="1"/>
    </row>
    <row r="969" ht="14.25" customHeight="1">
      <c r="D969" s="1"/>
    </row>
    <row r="970" ht="14.25" customHeight="1">
      <c r="D970" s="1"/>
    </row>
    <row r="971" ht="14.25" customHeight="1">
      <c r="D971" s="1"/>
    </row>
    <row r="972" ht="14.25" customHeight="1">
      <c r="D972" s="1"/>
    </row>
    <row r="973" ht="14.25" customHeight="1">
      <c r="D973" s="1"/>
    </row>
    <row r="974" ht="14.25" customHeight="1">
      <c r="D974" s="1"/>
    </row>
    <row r="975" ht="14.25" customHeight="1">
      <c r="D975" s="1"/>
    </row>
    <row r="976" ht="14.25" customHeight="1">
      <c r="D976" s="1"/>
    </row>
    <row r="977" ht="14.25" customHeight="1">
      <c r="D977" s="1"/>
    </row>
    <row r="978" ht="14.25" customHeight="1">
      <c r="D978" s="1"/>
    </row>
    <row r="979" ht="14.25" customHeight="1">
      <c r="D979" s="1"/>
    </row>
    <row r="980" ht="14.25" customHeight="1">
      <c r="D980" s="1"/>
    </row>
    <row r="981" ht="14.25" customHeight="1">
      <c r="D981" s="1"/>
    </row>
    <row r="982" ht="14.25" customHeight="1">
      <c r="D982" s="1"/>
    </row>
    <row r="983" ht="14.25" customHeight="1">
      <c r="D983" s="1"/>
    </row>
    <row r="984" ht="14.25" customHeight="1">
      <c r="D984" s="1"/>
    </row>
    <row r="985" ht="14.25" customHeight="1">
      <c r="D985" s="1"/>
    </row>
    <row r="986" ht="14.25" customHeight="1">
      <c r="D986" s="1"/>
    </row>
    <row r="987" ht="14.25" customHeight="1">
      <c r="D987" s="1"/>
    </row>
    <row r="988" ht="14.25" customHeight="1">
      <c r="D988" s="1"/>
    </row>
    <row r="989" ht="14.25" customHeight="1">
      <c r="D989" s="1"/>
    </row>
    <row r="990" ht="14.25" customHeight="1">
      <c r="D990" s="1"/>
    </row>
    <row r="991" ht="14.25" customHeight="1">
      <c r="D991" s="1"/>
    </row>
    <row r="992" ht="14.25" customHeight="1">
      <c r="D992" s="1"/>
    </row>
    <row r="993" ht="14.25" customHeight="1">
      <c r="D993" s="1"/>
    </row>
    <row r="994" ht="14.25" customHeight="1">
      <c r="D994" s="1"/>
    </row>
    <row r="995" ht="14.25" customHeight="1">
      <c r="D995" s="1"/>
    </row>
    <row r="996" ht="14.25" customHeight="1">
      <c r="D996" s="1"/>
    </row>
    <row r="997" ht="14.25" customHeight="1">
      <c r="D997" s="1"/>
    </row>
    <row r="998" ht="14.25" customHeight="1">
      <c r="D998" s="1"/>
    </row>
    <row r="999" ht="14.25" customHeight="1">
      <c r="D999" s="1"/>
    </row>
    <row r="1000" ht="14.25" customHeight="1">
      <c r="D1000" s="1"/>
    </row>
  </sheetData>
  <mergeCells count="139">
    <mergeCell ref="N31:P32"/>
    <mergeCell ref="Q31:S32"/>
    <mergeCell ref="D34:D38"/>
    <mergeCell ref="E34:E38"/>
    <mergeCell ref="F34:F38"/>
    <mergeCell ref="H34:J38"/>
    <mergeCell ref="N34:Y38"/>
    <mergeCell ref="C39:G39"/>
    <mergeCell ref="B43:G43"/>
    <mergeCell ref="H43:J43"/>
    <mergeCell ref="K43:M43"/>
    <mergeCell ref="N43:P43"/>
    <mergeCell ref="Q43:S43"/>
    <mergeCell ref="T43:V43"/>
    <mergeCell ref="N8:P9"/>
    <mergeCell ref="Q8:S9"/>
    <mergeCell ref="W8:Y9"/>
    <mergeCell ref="AA8:AA10"/>
    <mergeCell ref="N11:Y15"/>
    <mergeCell ref="P3:W3"/>
    <mergeCell ref="P4:W4"/>
    <mergeCell ref="P5:W5"/>
    <mergeCell ref="P6:W6"/>
    <mergeCell ref="B8:G9"/>
    <mergeCell ref="K8:M9"/>
    <mergeCell ref="T8:V9"/>
    <mergeCell ref="N20:P21"/>
    <mergeCell ref="Q20:S21"/>
    <mergeCell ref="T20:V21"/>
    <mergeCell ref="W20:Y21"/>
    <mergeCell ref="AA20:AA22"/>
    <mergeCell ref="H8:J9"/>
    <mergeCell ref="F11:F15"/>
    <mergeCell ref="H11:J15"/>
    <mergeCell ref="C16:G16"/>
    <mergeCell ref="B20:G21"/>
    <mergeCell ref="H20:J21"/>
    <mergeCell ref="K20:M21"/>
    <mergeCell ref="T31:V32"/>
    <mergeCell ref="W31:Y32"/>
    <mergeCell ref="AA31:AA33"/>
    <mergeCell ref="D23:D26"/>
    <mergeCell ref="H23:M26"/>
    <mergeCell ref="Q23:Y26"/>
    <mergeCell ref="C27:G27"/>
    <mergeCell ref="B31:G32"/>
    <mergeCell ref="H31:J32"/>
    <mergeCell ref="K31:M32"/>
    <mergeCell ref="W43:Y43"/>
    <mergeCell ref="AA43:AA44"/>
    <mergeCell ref="D45:D50"/>
    <mergeCell ref="E45:E50"/>
    <mergeCell ref="F45:F50"/>
    <mergeCell ref="H45:P50"/>
    <mergeCell ref="T45:Y50"/>
    <mergeCell ref="W55:Y55"/>
    <mergeCell ref="AA55:AA56"/>
    <mergeCell ref="C51:G51"/>
    <mergeCell ref="B55:G55"/>
    <mergeCell ref="H55:J55"/>
    <mergeCell ref="K55:M55"/>
    <mergeCell ref="N55:P55"/>
    <mergeCell ref="Q55:S55"/>
    <mergeCell ref="T55:V55"/>
    <mergeCell ref="D57:D61"/>
    <mergeCell ref="E57:E61"/>
    <mergeCell ref="F57:F61"/>
    <mergeCell ref="G57:G61"/>
    <mergeCell ref="H57:M61"/>
    <mergeCell ref="Q57:Y61"/>
    <mergeCell ref="C62:G62"/>
    <mergeCell ref="M66:O66"/>
    <mergeCell ref="S66:T66"/>
    <mergeCell ref="X66:Z66"/>
    <mergeCell ref="X67:Z67"/>
    <mergeCell ref="S67:T67"/>
    <mergeCell ref="S68:T68"/>
    <mergeCell ref="U68:W68"/>
    <mergeCell ref="X68:Z68"/>
    <mergeCell ref="W90:Y90"/>
    <mergeCell ref="AA90:AA91"/>
    <mergeCell ref="C86:G86"/>
    <mergeCell ref="B90:G90"/>
    <mergeCell ref="H90:J90"/>
    <mergeCell ref="K90:M90"/>
    <mergeCell ref="N90:P90"/>
    <mergeCell ref="Q90:S90"/>
    <mergeCell ref="T90:V90"/>
    <mergeCell ref="X92:X99"/>
    <mergeCell ref="Y92:Y99"/>
    <mergeCell ref="AA92:AA99"/>
    <mergeCell ref="F92:F96"/>
    <mergeCell ref="F97:F99"/>
    <mergeCell ref="G110:G111"/>
    <mergeCell ref="G98:G99"/>
    <mergeCell ref="C100:G100"/>
    <mergeCell ref="B92:B99"/>
    <mergeCell ref="C92:C99"/>
    <mergeCell ref="D92:D99"/>
    <mergeCell ref="E92:E99"/>
    <mergeCell ref="H92:V99"/>
    <mergeCell ref="W92:W99"/>
    <mergeCell ref="G93:G96"/>
    <mergeCell ref="C65:D65"/>
    <mergeCell ref="H65:I65"/>
    <mergeCell ref="S65:AA65"/>
    <mergeCell ref="C66:D66"/>
    <mergeCell ref="H66:I66"/>
    <mergeCell ref="M68:O68"/>
    <mergeCell ref="M69:AA69"/>
    <mergeCell ref="S70:AA70"/>
    <mergeCell ref="W74:Y74"/>
    <mergeCell ref="AA74:AA75"/>
    <mergeCell ref="M65:R65"/>
    <mergeCell ref="M67:O67"/>
    <mergeCell ref="P67:R67"/>
    <mergeCell ref="M70:R70"/>
    <mergeCell ref="N74:P74"/>
    <mergeCell ref="Q74:S74"/>
    <mergeCell ref="T74:V74"/>
    <mergeCell ref="G77:G78"/>
    <mergeCell ref="G79:G82"/>
    <mergeCell ref="D76:D85"/>
    <mergeCell ref="E76:E85"/>
    <mergeCell ref="H76:V84"/>
    <mergeCell ref="W76:W84"/>
    <mergeCell ref="X76:X84"/>
    <mergeCell ref="Y76:Y84"/>
    <mergeCell ref="AA76:AA84"/>
    <mergeCell ref="G84:G85"/>
    <mergeCell ref="F76:F82"/>
    <mergeCell ref="F83:F85"/>
    <mergeCell ref="J65:L68"/>
    <mergeCell ref="J70:L70"/>
    <mergeCell ref="B74:G74"/>
    <mergeCell ref="H74:J74"/>
    <mergeCell ref="K74:M74"/>
    <mergeCell ref="B76:B85"/>
    <mergeCell ref="C76:C85"/>
  </mergeCells>
  <dataValidations>
    <dataValidation type="list" allowBlank="1" showErrorMessage="1" sqref="F10 F22 F33 F44 F56 F75 F91">
      <formula1>$D$8:$D$11</formula1>
    </dataValidation>
    <dataValidation type="list" allowBlank="1" showErrorMessage="1" sqref="F23:F26">
      <formula1>$D$22</formula1>
    </dataValidation>
    <dataValidation type="list" allowBlank="1" showErrorMessage="1" sqref="E17:E19">
      <formula1>$C$9:$C$23</formula1>
    </dataValidation>
  </dataValidations>
  <printOptions/>
  <pageMargins bottom="0.7480314960629921" footer="0.0" header="0.0" left="0.7086614173228347" right="0.7086614173228347" top="0.7480314960629921"/>
  <pageSetup paperSize="9" scale="1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.71"/>
    <col customWidth="1" min="3" max="3" width="6.86"/>
    <col customWidth="1" min="4" max="4" width="35.57"/>
    <col customWidth="1" min="5" max="5" width="17.43"/>
    <col customWidth="1" min="6" max="6" width="25.14"/>
    <col customWidth="1" min="7" max="7" width="13.71"/>
    <col customWidth="1" min="8" max="8" width="51.86"/>
    <col customWidth="1" min="9" max="9" width="14.71"/>
    <col customWidth="1" min="10" max="10" width="17.0"/>
    <col customWidth="1" min="11" max="11" width="16.29"/>
    <col customWidth="1" min="12" max="12" width="14.71"/>
    <col customWidth="1" min="13" max="13" width="17.0"/>
    <col customWidth="1" min="14" max="14" width="16.29"/>
    <col customWidth="1" min="15" max="15" width="14.71"/>
    <col customWidth="1" min="16" max="16" width="17.0"/>
    <col customWidth="1" min="17" max="17" width="16.29"/>
    <col customWidth="1" min="18" max="18" width="14.71"/>
    <col customWidth="1" min="19" max="19" width="17.0"/>
    <col customWidth="1" min="20" max="20" width="16.29"/>
    <col customWidth="1" min="21" max="21" width="14.71"/>
    <col customWidth="1" min="22" max="22" width="17.0"/>
    <col customWidth="1" min="23" max="23" width="16.29"/>
    <col customWidth="1" min="24" max="24" width="14.71"/>
    <col customWidth="1" min="25" max="25" width="17.0"/>
    <col customWidth="1" min="26" max="26" width="16.29"/>
    <col customWidth="1" min="27" max="27" width="8.71"/>
    <col customWidth="1" min="28" max="28" width="27.71"/>
    <col customWidth="1" min="29" max="30" width="8.71"/>
    <col customWidth="1" min="31" max="31" width="8.86"/>
    <col customWidth="1" min="32" max="32" width="8.71"/>
  </cols>
  <sheetData>
    <row r="1" ht="14.25" customHeight="1">
      <c r="C1" s="6"/>
      <c r="E1" s="1"/>
      <c r="H1" s="6"/>
    </row>
    <row r="2" ht="14.25" customHeight="1">
      <c r="C2" s="6"/>
      <c r="E2" s="1"/>
      <c r="H2" s="6"/>
    </row>
    <row r="3" ht="14.25" customHeight="1">
      <c r="C3" s="6"/>
      <c r="E3" s="1"/>
      <c r="H3" s="6"/>
      <c r="Q3" s="2" t="s">
        <v>0</v>
      </c>
      <c r="R3" s="3"/>
      <c r="S3" s="3"/>
      <c r="T3" s="3"/>
      <c r="U3" s="3"/>
      <c r="V3" s="3"/>
      <c r="W3" s="3"/>
      <c r="X3" s="4"/>
    </row>
    <row r="4" ht="14.25" customHeight="1">
      <c r="A4" s="5"/>
      <c r="B4" s="5"/>
      <c r="C4" s="6"/>
      <c r="D4" s="5"/>
      <c r="E4" s="6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7" t="s">
        <v>87</v>
      </c>
      <c r="R4" s="8"/>
      <c r="S4" s="8"/>
      <c r="T4" s="8"/>
      <c r="U4" s="8"/>
      <c r="V4" s="8"/>
      <c r="W4" s="8"/>
      <c r="X4" s="9"/>
      <c r="Y4" s="5"/>
      <c r="Z4" s="5"/>
      <c r="AA4" s="5"/>
      <c r="AB4" s="5"/>
    </row>
    <row r="5" ht="14.25" customHeight="1">
      <c r="A5" s="5"/>
      <c r="B5" s="5"/>
      <c r="C5" s="6"/>
      <c r="D5" s="5"/>
      <c r="E5" s="6"/>
      <c r="F5" s="5"/>
      <c r="G5" s="5"/>
      <c r="H5" s="6"/>
      <c r="I5" s="5"/>
      <c r="J5" s="5"/>
      <c r="K5" s="5"/>
      <c r="L5" s="5"/>
      <c r="M5" s="5"/>
      <c r="N5" s="5"/>
      <c r="O5" s="5"/>
      <c r="P5" s="5"/>
      <c r="Q5" s="7" t="s">
        <v>2</v>
      </c>
      <c r="R5" s="8"/>
      <c r="S5" s="8"/>
      <c r="T5" s="8"/>
      <c r="U5" s="8"/>
      <c r="V5" s="8"/>
      <c r="W5" s="8"/>
      <c r="X5" s="9"/>
      <c r="Y5" s="5"/>
      <c r="Z5" s="5"/>
      <c r="AA5" s="5"/>
      <c r="AB5" s="5"/>
    </row>
    <row r="6" ht="14.25" customHeight="1">
      <c r="A6" s="5"/>
      <c r="B6" s="5"/>
      <c r="C6" s="6"/>
      <c r="D6" s="5"/>
      <c r="E6" s="6"/>
      <c r="F6" s="5"/>
      <c r="G6" s="5"/>
      <c r="H6" s="6"/>
      <c r="I6" s="5"/>
      <c r="J6" s="5"/>
      <c r="K6" s="5"/>
      <c r="L6" s="5"/>
      <c r="M6" s="5"/>
      <c r="N6" s="5"/>
      <c r="O6" s="5"/>
      <c r="P6" s="5"/>
      <c r="Q6" s="10" t="s">
        <v>3</v>
      </c>
      <c r="R6" s="11"/>
      <c r="S6" s="11"/>
      <c r="T6" s="11"/>
      <c r="U6" s="11"/>
      <c r="V6" s="11"/>
      <c r="W6" s="11"/>
      <c r="X6" s="12"/>
      <c r="Y6" s="5"/>
      <c r="Z6" s="5"/>
      <c r="AA6" s="5"/>
      <c r="AB6" s="5"/>
    </row>
    <row r="7" ht="14.25" customHeight="1">
      <c r="A7" s="5"/>
      <c r="B7" s="5"/>
      <c r="C7" s="6"/>
      <c r="D7" s="5"/>
      <c r="E7" s="6"/>
      <c r="F7" s="5"/>
      <c r="G7" s="5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4.25" customHeight="1">
      <c r="A8" s="13"/>
      <c r="B8" s="13"/>
      <c r="C8" s="14"/>
      <c r="D8" s="15"/>
      <c r="E8" s="15"/>
      <c r="F8" s="15"/>
      <c r="G8" s="15"/>
      <c r="H8" s="16"/>
      <c r="I8" s="17" t="s">
        <v>4</v>
      </c>
      <c r="J8" s="15"/>
      <c r="K8" s="16"/>
      <c r="L8" s="17" t="s">
        <v>5</v>
      </c>
      <c r="M8" s="15"/>
      <c r="N8" s="16"/>
      <c r="O8" s="17" t="s">
        <v>6</v>
      </c>
      <c r="P8" s="15"/>
      <c r="Q8" s="16"/>
      <c r="R8" s="17" t="s">
        <v>7</v>
      </c>
      <c r="S8" s="15"/>
      <c r="T8" s="16"/>
      <c r="U8" s="17" t="s">
        <v>8</v>
      </c>
      <c r="V8" s="15"/>
      <c r="W8" s="16"/>
      <c r="X8" s="17" t="s">
        <v>9</v>
      </c>
      <c r="Y8" s="15"/>
      <c r="Z8" s="16"/>
      <c r="AA8" s="13"/>
      <c r="AB8" s="54" t="s">
        <v>10</v>
      </c>
      <c r="AC8" s="19"/>
      <c r="AD8" s="19"/>
      <c r="AE8" s="19"/>
      <c r="AF8" s="19"/>
    </row>
    <row r="9" ht="14.25" customHeight="1">
      <c r="A9" s="13"/>
      <c r="B9" s="13"/>
      <c r="C9" s="20"/>
      <c r="D9" s="21"/>
      <c r="E9" s="21"/>
      <c r="F9" s="21"/>
      <c r="G9" s="21"/>
      <c r="H9" s="22"/>
      <c r="I9" s="20"/>
      <c r="J9" s="21"/>
      <c r="K9" s="22"/>
      <c r="L9" s="20"/>
      <c r="M9" s="21"/>
      <c r="N9" s="22"/>
      <c r="O9" s="20"/>
      <c r="P9" s="21"/>
      <c r="Q9" s="22"/>
      <c r="R9" s="20"/>
      <c r="S9" s="21"/>
      <c r="T9" s="22"/>
      <c r="U9" s="20"/>
      <c r="V9" s="21"/>
      <c r="W9" s="22"/>
      <c r="X9" s="20"/>
      <c r="Y9" s="21"/>
      <c r="Z9" s="22"/>
      <c r="AA9" s="13"/>
      <c r="AB9" s="23"/>
      <c r="AC9" s="19"/>
      <c r="AD9" s="19"/>
      <c r="AE9" s="19"/>
      <c r="AF9" s="19"/>
    </row>
    <row r="10" ht="14.25" customHeight="1">
      <c r="A10" s="13"/>
      <c r="B10" s="13"/>
      <c r="C10" s="25"/>
      <c r="D10" s="25" t="s">
        <v>11</v>
      </c>
      <c r="E10" s="25" t="s">
        <v>12</v>
      </c>
      <c r="F10" s="25" t="s">
        <v>13</v>
      </c>
      <c r="G10" s="25" t="s">
        <v>14</v>
      </c>
      <c r="H10" s="25" t="s">
        <v>15</v>
      </c>
      <c r="I10" s="26" t="s">
        <v>16</v>
      </c>
      <c r="J10" s="114" t="s">
        <v>17</v>
      </c>
      <c r="K10" s="28" t="s">
        <v>18</v>
      </c>
      <c r="L10" s="26" t="s">
        <v>16</v>
      </c>
      <c r="M10" s="114" t="s">
        <v>17</v>
      </c>
      <c r="N10" s="28" t="s">
        <v>18</v>
      </c>
      <c r="O10" s="26" t="s">
        <v>16</v>
      </c>
      <c r="P10" s="114" t="s">
        <v>17</v>
      </c>
      <c r="Q10" s="28" t="s">
        <v>18</v>
      </c>
      <c r="R10" s="26" t="s">
        <v>16</v>
      </c>
      <c r="S10" s="114" t="s">
        <v>17</v>
      </c>
      <c r="T10" s="28" t="s">
        <v>18</v>
      </c>
      <c r="U10" s="26" t="s">
        <v>16</v>
      </c>
      <c r="V10" s="114" t="s">
        <v>17</v>
      </c>
      <c r="W10" s="28" t="s">
        <v>18</v>
      </c>
      <c r="X10" s="26" t="s">
        <v>16</v>
      </c>
      <c r="Y10" s="114" t="s">
        <v>17</v>
      </c>
      <c r="Z10" s="28" t="s">
        <v>18</v>
      </c>
      <c r="AA10" s="13"/>
      <c r="AB10" s="29"/>
      <c r="AC10" s="19"/>
      <c r="AD10" s="19"/>
      <c r="AE10" s="19"/>
      <c r="AF10" s="19"/>
    </row>
    <row r="11" ht="14.25" customHeight="1">
      <c r="A11" s="13"/>
      <c r="B11" s="13"/>
      <c r="C11" s="115">
        <v>1.0</v>
      </c>
      <c r="D11" s="31" t="s">
        <v>19</v>
      </c>
      <c r="E11" s="32" t="s">
        <v>23</v>
      </c>
      <c r="F11" s="33" t="s">
        <v>24</v>
      </c>
      <c r="G11" s="34">
        <v>3.2</v>
      </c>
      <c r="H11" s="35" t="s">
        <v>22</v>
      </c>
      <c r="I11" s="116"/>
      <c r="J11" s="15"/>
      <c r="K11" s="16"/>
      <c r="L11" s="117"/>
      <c r="M11" s="118"/>
      <c r="N11" s="119">
        <v>1.0</v>
      </c>
      <c r="O11" s="116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6"/>
      <c r="AA11" s="13"/>
      <c r="AB11" s="40">
        <f>SUM(I11:AA11)</f>
        <v>1</v>
      </c>
      <c r="AC11" s="19"/>
      <c r="AD11" s="19"/>
      <c r="AE11" s="19"/>
      <c r="AF11" s="19"/>
    </row>
    <row r="12" ht="14.25" customHeight="1">
      <c r="A12" s="13"/>
      <c r="B12" s="13"/>
      <c r="C12" s="115">
        <v>2.0</v>
      </c>
      <c r="D12" s="31" t="s">
        <v>19</v>
      </c>
      <c r="E12" s="32" t="s">
        <v>23</v>
      </c>
      <c r="F12" s="33" t="s">
        <v>25</v>
      </c>
      <c r="G12" s="23"/>
      <c r="H12" s="35" t="s">
        <v>28</v>
      </c>
      <c r="I12" s="41"/>
      <c r="K12" s="42"/>
      <c r="L12" s="117"/>
      <c r="M12" s="118">
        <v>1.0</v>
      </c>
      <c r="N12" s="119"/>
      <c r="O12" s="41"/>
      <c r="Z12" s="42"/>
      <c r="AA12" s="13"/>
      <c r="AB12" s="40">
        <f t="shared" ref="AB12:AB16" si="1">SUM(I12:Z12)</f>
        <v>1</v>
      </c>
      <c r="AC12" s="19"/>
      <c r="AD12" s="19"/>
      <c r="AE12" s="19"/>
      <c r="AF12" s="19"/>
    </row>
    <row r="13" ht="14.25" customHeight="1">
      <c r="A13" s="13"/>
      <c r="B13" s="13"/>
      <c r="C13" s="115">
        <v>3.0</v>
      </c>
      <c r="D13" s="31" t="s">
        <v>19</v>
      </c>
      <c r="E13" s="32" t="s">
        <v>88</v>
      </c>
      <c r="F13" s="33" t="s">
        <v>89</v>
      </c>
      <c r="G13" s="23"/>
      <c r="H13" s="35" t="s">
        <v>28</v>
      </c>
      <c r="I13" s="41"/>
      <c r="K13" s="42"/>
      <c r="L13" s="117"/>
      <c r="M13" s="118">
        <v>1.0</v>
      </c>
      <c r="N13" s="119"/>
      <c r="O13" s="41"/>
      <c r="Z13" s="42"/>
      <c r="AA13" s="13"/>
      <c r="AB13" s="40">
        <f t="shared" si="1"/>
        <v>1</v>
      </c>
      <c r="AC13" s="19"/>
      <c r="AD13" s="19"/>
      <c r="AE13" s="19"/>
      <c r="AF13" s="19"/>
    </row>
    <row r="14" ht="14.25" customHeight="1">
      <c r="A14" s="13"/>
      <c r="B14" s="13"/>
      <c r="C14" s="115">
        <v>4.0</v>
      </c>
      <c r="D14" s="31" t="s">
        <v>19</v>
      </c>
      <c r="E14" s="32" t="s">
        <v>23</v>
      </c>
      <c r="F14" s="33" t="s">
        <v>90</v>
      </c>
      <c r="G14" s="23"/>
      <c r="H14" s="35" t="s">
        <v>26</v>
      </c>
      <c r="I14" s="41"/>
      <c r="K14" s="42"/>
      <c r="L14" s="117"/>
      <c r="M14" s="118">
        <v>1.0</v>
      </c>
      <c r="N14" s="119"/>
      <c r="O14" s="41"/>
      <c r="Z14" s="42"/>
      <c r="AA14" s="13"/>
      <c r="AB14" s="40">
        <f t="shared" si="1"/>
        <v>1</v>
      </c>
      <c r="AC14" s="19"/>
      <c r="AD14" s="19"/>
      <c r="AE14" s="19"/>
      <c r="AF14" s="19"/>
    </row>
    <row r="15" ht="14.25" customHeight="1">
      <c r="A15" s="13"/>
      <c r="B15" s="13"/>
      <c r="C15" s="120">
        <v>5.0</v>
      </c>
      <c r="D15" s="44" t="s">
        <v>19</v>
      </c>
      <c r="E15" s="32" t="s">
        <v>20</v>
      </c>
      <c r="F15" s="45" t="s">
        <v>91</v>
      </c>
      <c r="G15" s="29"/>
      <c r="H15" s="35" t="s">
        <v>26</v>
      </c>
      <c r="I15" s="20"/>
      <c r="J15" s="21"/>
      <c r="K15" s="22"/>
      <c r="L15" s="117">
        <v>1.0</v>
      </c>
      <c r="M15" s="118"/>
      <c r="N15" s="119"/>
      <c r="O15" s="20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  <c r="AA15" s="13"/>
      <c r="AB15" s="46">
        <f t="shared" si="1"/>
        <v>1</v>
      </c>
      <c r="AC15" s="19"/>
      <c r="AD15" s="19"/>
      <c r="AE15" s="19"/>
      <c r="AF15" s="19"/>
    </row>
    <row r="16" ht="14.25" customHeight="1">
      <c r="A16" s="13"/>
      <c r="B16" s="13"/>
      <c r="C16" s="51"/>
      <c r="D16" s="48" t="s">
        <v>30</v>
      </c>
      <c r="E16" s="49"/>
      <c r="F16" s="49"/>
      <c r="G16" s="49"/>
      <c r="H16" s="50"/>
      <c r="I16" s="51">
        <f t="shared" ref="I16:Z16" si="2">SUM(I11:I15)</f>
        <v>0</v>
      </c>
      <c r="J16" s="51">
        <f t="shared" si="2"/>
        <v>0</v>
      </c>
      <c r="K16" s="51">
        <f t="shared" si="2"/>
        <v>0</v>
      </c>
      <c r="L16" s="51">
        <f t="shared" si="2"/>
        <v>1</v>
      </c>
      <c r="M16" s="51">
        <f t="shared" si="2"/>
        <v>3</v>
      </c>
      <c r="N16" s="51">
        <f t="shared" si="2"/>
        <v>1</v>
      </c>
      <c r="O16" s="51">
        <f t="shared" si="2"/>
        <v>0</v>
      </c>
      <c r="P16" s="51">
        <f t="shared" si="2"/>
        <v>0</v>
      </c>
      <c r="Q16" s="51">
        <f t="shared" si="2"/>
        <v>0</v>
      </c>
      <c r="R16" s="51">
        <f t="shared" si="2"/>
        <v>0</v>
      </c>
      <c r="S16" s="51">
        <f t="shared" si="2"/>
        <v>0</v>
      </c>
      <c r="T16" s="51">
        <f t="shared" si="2"/>
        <v>0</v>
      </c>
      <c r="U16" s="51">
        <f t="shared" si="2"/>
        <v>0</v>
      </c>
      <c r="V16" s="51">
        <f t="shared" si="2"/>
        <v>0</v>
      </c>
      <c r="W16" s="51">
        <f t="shared" si="2"/>
        <v>0</v>
      </c>
      <c r="X16" s="51">
        <f t="shared" si="2"/>
        <v>0</v>
      </c>
      <c r="Y16" s="51">
        <f t="shared" si="2"/>
        <v>0</v>
      </c>
      <c r="Z16" s="51">
        <f t="shared" si="2"/>
        <v>0</v>
      </c>
      <c r="AA16" s="13"/>
      <c r="AB16" s="40">
        <f t="shared" si="1"/>
        <v>5</v>
      </c>
      <c r="AC16" s="19"/>
      <c r="AD16" s="19"/>
      <c r="AE16" s="19"/>
      <c r="AF16" s="19"/>
    </row>
    <row r="17" ht="14.25" customHeight="1">
      <c r="A17" s="13"/>
      <c r="B17" s="13"/>
      <c r="C17" s="52"/>
      <c r="D17" s="13"/>
      <c r="E17" s="52"/>
      <c r="F17" s="13"/>
      <c r="G17" s="13"/>
      <c r="H17" s="121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9"/>
      <c r="AD17" s="19"/>
      <c r="AE17" s="19"/>
      <c r="AF17" s="19"/>
    </row>
    <row r="18" ht="14.25" customHeight="1">
      <c r="A18" s="13"/>
      <c r="B18" s="13"/>
      <c r="C18" s="52"/>
      <c r="D18" s="13"/>
      <c r="E18" s="52"/>
      <c r="F18" s="13"/>
      <c r="G18" s="13"/>
      <c r="H18" s="121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9"/>
      <c r="AD18" s="19"/>
      <c r="AE18" s="19"/>
      <c r="AF18" s="19"/>
    </row>
    <row r="19" ht="14.25" customHeight="1">
      <c r="A19" s="13"/>
      <c r="B19" s="13"/>
      <c r="C19" s="52"/>
      <c r="D19" s="13"/>
      <c r="E19" s="52"/>
      <c r="F19" s="13"/>
      <c r="G19" s="13"/>
      <c r="H19" s="12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9"/>
      <c r="AD19" s="19"/>
      <c r="AE19" s="19"/>
      <c r="AF19" s="19"/>
    </row>
    <row r="20" ht="14.25" customHeight="1">
      <c r="A20" s="13"/>
      <c r="B20" s="13"/>
      <c r="C20" s="14"/>
      <c r="D20" s="15"/>
      <c r="E20" s="15"/>
      <c r="F20" s="15"/>
      <c r="G20" s="15"/>
      <c r="H20" s="16"/>
      <c r="I20" s="17" t="s">
        <v>4</v>
      </c>
      <c r="J20" s="15"/>
      <c r="K20" s="16"/>
      <c r="L20" s="17" t="s">
        <v>5</v>
      </c>
      <c r="M20" s="15"/>
      <c r="N20" s="16"/>
      <c r="O20" s="17" t="s">
        <v>6</v>
      </c>
      <c r="P20" s="15"/>
      <c r="Q20" s="16"/>
      <c r="R20" s="17" t="s">
        <v>31</v>
      </c>
      <c r="S20" s="15"/>
      <c r="T20" s="16"/>
      <c r="U20" s="17" t="s">
        <v>8</v>
      </c>
      <c r="V20" s="15"/>
      <c r="W20" s="16"/>
      <c r="X20" s="17" t="s">
        <v>9</v>
      </c>
      <c r="Y20" s="15"/>
      <c r="Z20" s="16"/>
      <c r="AA20" s="13"/>
      <c r="AB20" s="54" t="s">
        <v>10</v>
      </c>
      <c r="AC20" s="19"/>
      <c r="AD20" s="19"/>
      <c r="AE20" s="19"/>
      <c r="AF20" s="19"/>
    </row>
    <row r="21" ht="14.25" customHeight="1">
      <c r="A21" s="13"/>
      <c r="B21" s="13"/>
      <c r="C21" s="20"/>
      <c r="D21" s="21"/>
      <c r="E21" s="21"/>
      <c r="F21" s="21"/>
      <c r="G21" s="21"/>
      <c r="H21" s="22"/>
      <c r="I21" s="20"/>
      <c r="J21" s="21"/>
      <c r="K21" s="22"/>
      <c r="L21" s="20"/>
      <c r="M21" s="21"/>
      <c r="N21" s="22"/>
      <c r="O21" s="20"/>
      <c r="P21" s="21"/>
      <c r="Q21" s="22"/>
      <c r="R21" s="20"/>
      <c r="S21" s="21"/>
      <c r="T21" s="22"/>
      <c r="U21" s="20"/>
      <c r="V21" s="21"/>
      <c r="W21" s="22"/>
      <c r="X21" s="20"/>
      <c r="Y21" s="21"/>
      <c r="Z21" s="22"/>
      <c r="AA21" s="13"/>
      <c r="AB21" s="23"/>
      <c r="AC21" s="19"/>
      <c r="AD21" s="19"/>
      <c r="AE21" s="19"/>
      <c r="AF21" s="19"/>
    </row>
    <row r="22" ht="14.25" customHeight="1">
      <c r="A22" s="13"/>
      <c r="B22" s="13"/>
      <c r="C22" s="25"/>
      <c r="D22" s="25" t="s">
        <v>32</v>
      </c>
      <c r="E22" s="25" t="s">
        <v>12</v>
      </c>
      <c r="F22" s="25" t="s">
        <v>13</v>
      </c>
      <c r="G22" s="25" t="s">
        <v>14</v>
      </c>
      <c r="H22" s="25" t="s">
        <v>15</v>
      </c>
      <c r="I22" s="26" t="s">
        <v>16</v>
      </c>
      <c r="J22" s="114" t="s">
        <v>17</v>
      </c>
      <c r="K22" s="28" t="s">
        <v>18</v>
      </c>
      <c r="L22" s="26" t="s">
        <v>16</v>
      </c>
      <c r="M22" s="114" t="s">
        <v>17</v>
      </c>
      <c r="N22" s="28" t="s">
        <v>18</v>
      </c>
      <c r="O22" s="26" t="s">
        <v>16</v>
      </c>
      <c r="P22" s="114" t="s">
        <v>17</v>
      </c>
      <c r="Q22" s="28" t="s">
        <v>18</v>
      </c>
      <c r="R22" s="26" t="s">
        <v>16</v>
      </c>
      <c r="S22" s="114" t="s">
        <v>17</v>
      </c>
      <c r="T22" s="28" t="s">
        <v>18</v>
      </c>
      <c r="U22" s="26" t="s">
        <v>16</v>
      </c>
      <c r="V22" s="114" t="s">
        <v>17</v>
      </c>
      <c r="W22" s="28" t="s">
        <v>18</v>
      </c>
      <c r="X22" s="26" t="s">
        <v>16</v>
      </c>
      <c r="Y22" s="114" t="s">
        <v>17</v>
      </c>
      <c r="Z22" s="28" t="s">
        <v>18</v>
      </c>
      <c r="AA22" s="13"/>
      <c r="AB22" s="29"/>
      <c r="AC22" s="19"/>
      <c r="AD22" s="19"/>
      <c r="AE22" s="19"/>
      <c r="AF22" s="19"/>
    </row>
    <row r="23" ht="14.25" customHeight="1">
      <c r="A23" s="13"/>
      <c r="B23" s="13"/>
      <c r="C23" s="115">
        <v>6.0</v>
      </c>
      <c r="D23" s="55" t="s">
        <v>33</v>
      </c>
      <c r="E23" s="56" t="s">
        <v>20</v>
      </c>
      <c r="F23" s="33" t="s">
        <v>92</v>
      </c>
      <c r="G23" s="51">
        <v>3.2</v>
      </c>
      <c r="H23" s="35" t="s">
        <v>35</v>
      </c>
      <c r="I23" s="116"/>
      <c r="J23" s="15"/>
      <c r="K23" s="15"/>
      <c r="L23" s="15"/>
      <c r="M23" s="15"/>
      <c r="N23" s="16"/>
      <c r="O23" s="117"/>
      <c r="P23" s="118">
        <v>1.0</v>
      </c>
      <c r="Q23" s="119"/>
      <c r="R23" s="116"/>
      <c r="S23" s="15"/>
      <c r="T23" s="15"/>
      <c r="U23" s="15"/>
      <c r="V23" s="15"/>
      <c r="W23" s="15"/>
      <c r="X23" s="15"/>
      <c r="Y23" s="15"/>
      <c r="Z23" s="16"/>
      <c r="AA23" s="13"/>
      <c r="AB23" s="40">
        <f t="shared" ref="AB23:AB26" si="3">SUM(I23:Z23)</f>
        <v>1</v>
      </c>
      <c r="AC23" s="19"/>
      <c r="AD23" s="19"/>
      <c r="AE23" s="19"/>
      <c r="AF23" s="19"/>
    </row>
    <row r="24" ht="14.25" customHeight="1">
      <c r="A24" s="13"/>
      <c r="B24" s="13"/>
      <c r="C24" s="115">
        <v>7.0</v>
      </c>
      <c r="D24" s="55" t="s">
        <v>33</v>
      </c>
      <c r="E24" s="23"/>
      <c r="F24" s="33" t="s">
        <v>93</v>
      </c>
      <c r="G24" s="51">
        <v>3.2</v>
      </c>
      <c r="H24" s="35" t="s">
        <v>35</v>
      </c>
      <c r="I24" s="41"/>
      <c r="N24" s="42"/>
      <c r="O24" s="117"/>
      <c r="P24" s="118"/>
      <c r="Q24" s="119">
        <v>1.0</v>
      </c>
      <c r="R24" s="41"/>
      <c r="Z24" s="42"/>
      <c r="AA24" s="13"/>
      <c r="AB24" s="40">
        <f t="shared" si="3"/>
        <v>1</v>
      </c>
      <c r="AC24" s="19"/>
      <c r="AD24" s="19"/>
      <c r="AE24" s="19"/>
      <c r="AF24" s="19"/>
    </row>
    <row r="25" ht="14.25" customHeight="1">
      <c r="A25" s="13"/>
      <c r="B25" s="13"/>
      <c r="C25" s="115">
        <v>8.0</v>
      </c>
      <c r="D25" s="55" t="s">
        <v>33</v>
      </c>
      <c r="E25" s="23"/>
      <c r="F25" s="33" t="s">
        <v>94</v>
      </c>
      <c r="G25" s="51">
        <v>3.2</v>
      </c>
      <c r="H25" s="35" t="s">
        <v>35</v>
      </c>
      <c r="I25" s="41"/>
      <c r="N25" s="42"/>
      <c r="O25" s="117"/>
      <c r="P25" s="118">
        <v>1.0</v>
      </c>
      <c r="Q25" s="119"/>
      <c r="R25" s="41"/>
      <c r="Z25" s="42"/>
      <c r="AA25" s="13"/>
      <c r="AB25" s="40">
        <f t="shared" si="3"/>
        <v>1</v>
      </c>
      <c r="AC25" s="19"/>
      <c r="AD25" s="19"/>
      <c r="AE25" s="19"/>
      <c r="AF25" s="19"/>
    </row>
    <row r="26" ht="14.25" customHeight="1">
      <c r="A26" s="13"/>
      <c r="B26" s="13"/>
      <c r="C26" s="115">
        <v>9.0</v>
      </c>
      <c r="D26" s="55" t="s">
        <v>33</v>
      </c>
      <c r="E26" s="29"/>
      <c r="F26" s="33" t="s">
        <v>95</v>
      </c>
      <c r="G26" s="51">
        <v>3.2</v>
      </c>
      <c r="H26" s="35" t="s">
        <v>35</v>
      </c>
      <c r="I26" s="20"/>
      <c r="J26" s="21"/>
      <c r="K26" s="21"/>
      <c r="L26" s="21"/>
      <c r="M26" s="21"/>
      <c r="N26" s="22"/>
      <c r="O26" s="117"/>
      <c r="P26" s="118">
        <v>1.0</v>
      </c>
      <c r="Q26" s="119"/>
      <c r="R26" s="20"/>
      <c r="S26" s="21"/>
      <c r="T26" s="21"/>
      <c r="U26" s="21"/>
      <c r="V26" s="21"/>
      <c r="W26" s="21"/>
      <c r="X26" s="21"/>
      <c r="Y26" s="21"/>
      <c r="Z26" s="22"/>
      <c r="AA26" s="13"/>
      <c r="AB26" s="40">
        <f t="shared" si="3"/>
        <v>1</v>
      </c>
      <c r="AC26" s="19"/>
      <c r="AD26" s="19"/>
      <c r="AE26" s="19"/>
      <c r="AF26" s="19"/>
    </row>
    <row r="27" ht="14.25" customHeight="1">
      <c r="A27" s="13"/>
      <c r="B27" s="13"/>
      <c r="C27" s="51"/>
      <c r="D27" s="48" t="s">
        <v>30</v>
      </c>
      <c r="E27" s="49"/>
      <c r="F27" s="49"/>
      <c r="G27" s="49"/>
      <c r="H27" s="50"/>
      <c r="I27" s="51">
        <f t="shared" ref="I27:Z27" si="4">SUM(I22:I26)</f>
        <v>0</v>
      </c>
      <c r="J27" s="51">
        <f t="shared" si="4"/>
        <v>0</v>
      </c>
      <c r="K27" s="51">
        <f t="shared" si="4"/>
        <v>0</v>
      </c>
      <c r="L27" s="51">
        <f t="shared" si="4"/>
        <v>0</v>
      </c>
      <c r="M27" s="51">
        <f t="shared" si="4"/>
        <v>0</v>
      </c>
      <c r="N27" s="51">
        <f t="shared" si="4"/>
        <v>0</v>
      </c>
      <c r="O27" s="51">
        <f t="shared" si="4"/>
        <v>0</v>
      </c>
      <c r="P27" s="51">
        <f t="shared" si="4"/>
        <v>3</v>
      </c>
      <c r="Q27" s="51">
        <f t="shared" si="4"/>
        <v>1</v>
      </c>
      <c r="R27" s="51">
        <f t="shared" si="4"/>
        <v>0</v>
      </c>
      <c r="S27" s="51">
        <f t="shared" si="4"/>
        <v>0</v>
      </c>
      <c r="T27" s="51">
        <f t="shared" si="4"/>
        <v>0</v>
      </c>
      <c r="U27" s="51">
        <f t="shared" si="4"/>
        <v>0</v>
      </c>
      <c r="V27" s="51">
        <f t="shared" si="4"/>
        <v>0</v>
      </c>
      <c r="W27" s="51">
        <f t="shared" si="4"/>
        <v>0</v>
      </c>
      <c r="X27" s="51">
        <f t="shared" si="4"/>
        <v>0</v>
      </c>
      <c r="Y27" s="51">
        <f t="shared" si="4"/>
        <v>0</v>
      </c>
      <c r="Z27" s="51">
        <f t="shared" si="4"/>
        <v>0</v>
      </c>
      <c r="AA27" s="13"/>
      <c r="AB27" s="40">
        <f>SUM(AB23:AB26)</f>
        <v>4</v>
      </c>
      <c r="AC27" s="19"/>
      <c r="AD27" s="19"/>
      <c r="AE27" s="19"/>
      <c r="AF27" s="19"/>
    </row>
    <row r="28" ht="14.25" customHeight="1">
      <c r="A28" s="13"/>
      <c r="B28" s="13"/>
      <c r="C28" s="52"/>
      <c r="D28" s="13"/>
      <c r="E28" s="52"/>
      <c r="F28" s="13"/>
      <c r="G28" s="13"/>
      <c r="H28" s="121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9"/>
      <c r="AD28" s="19"/>
      <c r="AE28" s="19"/>
      <c r="AF28" s="19"/>
    </row>
    <row r="29" ht="14.25" customHeight="1">
      <c r="A29" s="13"/>
      <c r="B29" s="13"/>
      <c r="C29" s="52"/>
      <c r="D29" s="13"/>
      <c r="E29" s="52"/>
      <c r="F29" s="13"/>
      <c r="G29" s="13"/>
      <c r="H29" s="12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9"/>
      <c r="AD29" s="19"/>
      <c r="AE29" s="19"/>
      <c r="AF29" s="19"/>
    </row>
    <row r="30" ht="14.25" customHeight="1">
      <c r="A30" s="13"/>
      <c r="B30" s="13"/>
      <c r="C30" s="52"/>
      <c r="D30" s="13"/>
      <c r="E30" s="52"/>
      <c r="F30" s="13"/>
      <c r="G30" s="13"/>
      <c r="H30" s="121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9"/>
      <c r="AD30" s="19"/>
      <c r="AE30" s="19"/>
      <c r="AF30" s="19"/>
    </row>
    <row r="31" ht="14.25" customHeight="1">
      <c r="A31" s="13"/>
      <c r="B31" s="13"/>
      <c r="C31" s="14"/>
      <c r="D31" s="15"/>
      <c r="E31" s="15"/>
      <c r="F31" s="15"/>
      <c r="G31" s="15"/>
      <c r="H31" s="16"/>
      <c r="I31" s="17" t="s">
        <v>4</v>
      </c>
      <c r="J31" s="15"/>
      <c r="K31" s="15"/>
      <c r="L31" s="57" t="s">
        <v>5</v>
      </c>
      <c r="M31" s="15"/>
      <c r="N31" s="15"/>
      <c r="O31" s="57" t="s">
        <v>6</v>
      </c>
      <c r="P31" s="15"/>
      <c r="Q31" s="15"/>
      <c r="R31" s="57" t="s">
        <v>31</v>
      </c>
      <c r="S31" s="15"/>
      <c r="T31" s="15"/>
      <c r="U31" s="57" t="s">
        <v>8</v>
      </c>
      <c r="V31" s="15"/>
      <c r="W31" s="15"/>
      <c r="X31" s="57" t="s">
        <v>9</v>
      </c>
      <c r="Y31" s="15"/>
      <c r="Z31" s="15"/>
      <c r="AA31" s="13"/>
      <c r="AB31" s="54" t="s">
        <v>10</v>
      </c>
      <c r="AC31" s="19"/>
      <c r="AD31" s="19"/>
      <c r="AE31" s="19"/>
      <c r="AF31" s="19"/>
    </row>
    <row r="32" ht="24.75" customHeight="1">
      <c r="A32" s="13"/>
      <c r="B32" s="13"/>
      <c r="C32" s="20"/>
      <c r="D32" s="21"/>
      <c r="E32" s="21"/>
      <c r="F32" s="21"/>
      <c r="G32" s="21"/>
      <c r="H32" s="22"/>
      <c r="I32" s="20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3"/>
      <c r="AB32" s="23"/>
      <c r="AC32" s="19"/>
      <c r="AD32" s="19"/>
      <c r="AE32" s="19"/>
      <c r="AF32" s="19"/>
    </row>
    <row r="33" ht="14.25" customHeight="1">
      <c r="A33" s="13"/>
      <c r="B33" s="13"/>
      <c r="C33" s="25"/>
      <c r="D33" s="25" t="s">
        <v>39</v>
      </c>
      <c r="E33" s="25" t="s">
        <v>12</v>
      </c>
      <c r="F33" s="25" t="s">
        <v>13</v>
      </c>
      <c r="G33" s="25" t="s">
        <v>14</v>
      </c>
      <c r="H33" s="25" t="s">
        <v>15</v>
      </c>
      <c r="I33" s="26" t="s">
        <v>16</v>
      </c>
      <c r="J33" s="114" t="s">
        <v>17</v>
      </c>
      <c r="K33" s="28" t="s">
        <v>18</v>
      </c>
      <c r="L33" s="26" t="s">
        <v>16</v>
      </c>
      <c r="M33" s="114" t="s">
        <v>17</v>
      </c>
      <c r="N33" s="28" t="s">
        <v>18</v>
      </c>
      <c r="O33" s="26" t="s">
        <v>16</v>
      </c>
      <c r="P33" s="114" t="s">
        <v>17</v>
      </c>
      <c r="Q33" s="28" t="s">
        <v>18</v>
      </c>
      <c r="R33" s="26" t="s">
        <v>16</v>
      </c>
      <c r="S33" s="114" t="s">
        <v>17</v>
      </c>
      <c r="T33" s="28" t="s">
        <v>18</v>
      </c>
      <c r="U33" s="26" t="s">
        <v>16</v>
      </c>
      <c r="V33" s="114" t="s">
        <v>17</v>
      </c>
      <c r="W33" s="28" t="s">
        <v>18</v>
      </c>
      <c r="X33" s="26" t="s">
        <v>16</v>
      </c>
      <c r="Y33" s="114" t="s">
        <v>17</v>
      </c>
      <c r="Z33" s="28" t="s">
        <v>18</v>
      </c>
      <c r="AA33" s="13"/>
      <c r="AB33" s="29"/>
      <c r="AC33" s="19"/>
      <c r="AD33" s="19"/>
      <c r="AE33" s="19"/>
      <c r="AF33" s="19"/>
    </row>
    <row r="34" ht="14.25" customHeight="1">
      <c r="A34" s="13"/>
      <c r="B34" s="13"/>
      <c r="C34" s="122">
        <v>10.0</v>
      </c>
      <c r="D34" s="55" t="s">
        <v>40</v>
      </c>
      <c r="E34" s="56" t="s">
        <v>23</v>
      </c>
      <c r="F34" s="45" t="s">
        <v>41</v>
      </c>
      <c r="G34" s="34">
        <v>3.2</v>
      </c>
      <c r="H34" s="35" t="s">
        <v>42</v>
      </c>
      <c r="I34" s="116"/>
      <c r="J34" s="15"/>
      <c r="K34" s="16"/>
      <c r="L34" s="117"/>
      <c r="M34" s="118">
        <v>1.0</v>
      </c>
      <c r="N34" s="119"/>
      <c r="O34" s="116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6"/>
      <c r="AA34" s="13"/>
      <c r="AB34" s="40">
        <f t="shared" ref="AB34:AB38" si="5">SUM(I34:Z34)</f>
        <v>1</v>
      </c>
      <c r="AC34" s="19"/>
      <c r="AD34" s="19"/>
      <c r="AE34" s="19"/>
      <c r="AF34" s="19"/>
    </row>
    <row r="35" ht="14.25" customHeight="1">
      <c r="A35" s="13"/>
      <c r="B35" s="13"/>
      <c r="C35" s="122">
        <v>11.0</v>
      </c>
      <c r="D35" s="55" t="s">
        <v>40</v>
      </c>
      <c r="E35" s="23"/>
      <c r="F35" s="23"/>
      <c r="G35" s="23"/>
      <c r="H35" s="35" t="s">
        <v>42</v>
      </c>
      <c r="I35" s="41"/>
      <c r="K35" s="42"/>
      <c r="L35" s="117">
        <v>1.0</v>
      </c>
      <c r="M35" s="118"/>
      <c r="N35" s="119"/>
      <c r="O35" s="41"/>
      <c r="Z35" s="42"/>
      <c r="AA35" s="13"/>
      <c r="AB35" s="40">
        <f t="shared" si="5"/>
        <v>1</v>
      </c>
      <c r="AC35" s="19"/>
      <c r="AD35" s="19"/>
      <c r="AE35" s="19"/>
      <c r="AF35" s="19"/>
    </row>
    <row r="36" ht="14.25" customHeight="1">
      <c r="A36" s="13"/>
      <c r="B36" s="13"/>
      <c r="C36" s="122">
        <v>12.0</v>
      </c>
      <c r="D36" s="55" t="s">
        <v>40</v>
      </c>
      <c r="E36" s="23"/>
      <c r="F36" s="23"/>
      <c r="G36" s="23"/>
      <c r="H36" s="35" t="s">
        <v>42</v>
      </c>
      <c r="I36" s="41"/>
      <c r="K36" s="42"/>
      <c r="L36" s="117">
        <v>1.0</v>
      </c>
      <c r="M36" s="118"/>
      <c r="N36" s="119"/>
      <c r="O36" s="41"/>
      <c r="Z36" s="42"/>
      <c r="AA36" s="13"/>
      <c r="AB36" s="40">
        <f t="shared" si="5"/>
        <v>1</v>
      </c>
      <c r="AC36" s="19"/>
      <c r="AD36" s="19"/>
      <c r="AE36" s="19"/>
      <c r="AF36" s="19"/>
    </row>
    <row r="37" ht="14.25" customHeight="1">
      <c r="A37" s="13"/>
      <c r="B37" s="13"/>
      <c r="C37" s="122">
        <v>13.0</v>
      </c>
      <c r="D37" s="55" t="s">
        <v>40</v>
      </c>
      <c r="E37" s="23"/>
      <c r="F37" s="23"/>
      <c r="G37" s="23"/>
      <c r="H37" s="35" t="s">
        <v>42</v>
      </c>
      <c r="I37" s="41"/>
      <c r="K37" s="42"/>
      <c r="L37" s="117"/>
      <c r="M37" s="118"/>
      <c r="N37" s="119">
        <v>1.0</v>
      </c>
      <c r="O37" s="41"/>
      <c r="Z37" s="42"/>
      <c r="AA37" s="13"/>
      <c r="AB37" s="40">
        <f t="shared" si="5"/>
        <v>1</v>
      </c>
      <c r="AC37" s="19"/>
      <c r="AD37" s="19"/>
      <c r="AE37" s="19"/>
      <c r="AF37" s="19"/>
    </row>
    <row r="38" ht="14.25" customHeight="1">
      <c r="A38" s="13"/>
      <c r="B38" s="13"/>
      <c r="C38" s="122">
        <v>14.0</v>
      </c>
      <c r="D38" s="55" t="s">
        <v>40</v>
      </c>
      <c r="E38" s="29"/>
      <c r="F38" s="29"/>
      <c r="G38" s="29"/>
      <c r="H38" s="35" t="s">
        <v>43</v>
      </c>
      <c r="I38" s="20"/>
      <c r="J38" s="21"/>
      <c r="K38" s="22"/>
      <c r="L38" s="61"/>
      <c r="M38" s="69"/>
      <c r="N38" s="119">
        <v>1.0</v>
      </c>
      <c r="O38" s="20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2"/>
      <c r="AA38" s="13"/>
      <c r="AB38" s="40">
        <f t="shared" si="5"/>
        <v>1</v>
      </c>
      <c r="AC38" s="19"/>
      <c r="AD38" s="19"/>
      <c r="AE38" s="19"/>
      <c r="AF38" s="19"/>
    </row>
    <row r="39" ht="14.25" customHeight="1">
      <c r="A39" s="13"/>
      <c r="B39" s="13"/>
      <c r="C39" s="51"/>
      <c r="D39" s="48" t="s">
        <v>30</v>
      </c>
      <c r="E39" s="49"/>
      <c r="F39" s="49"/>
      <c r="G39" s="49"/>
      <c r="H39" s="50"/>
      <c r="I39" s="51">
        <f t="shared" ref="I39:Z39" si="6">SUM(I34:I38)</f>
        <v>0</v>
      </c>
      <c r="J39" s="51">
        <f t="shared" si="6"/>
        <v>0</v>
      </c>
      <c r="K39" s="51">
        <f t="shared" si="6"/>
        <v>0</v>
      </c>
      <c r="L39" s="51">
        <f t="shared" si="6"/>
        <v>2</v>
      </c>
      <c r="M39" s="51">
        <f t="shared" si="6"/>
        <v>1</v>
      </c>
      <c r="N39" s="51">
        <f t="shared" si="6"/>
        <v>2</v>
      </c>
      <c r="O39" s="51">
        <f t="shared" si="6"/>
        <v>0</v>
      </c>
      <c r="P39" s="51">
        <f t="shared" si="6"/>
        <v>0</v>
      </c>
      <c r="Q39" s="51">
        <f t="shared" si="6"/>
        <v>0</v>
      </c>
      <c r="R39" s="51">
        <f t="shared" si="6"/>
        <v>0</v>
      </c>
      <c r="S39" s="51">
        <f t="shared" si="6"/>
        <v>0</v>
      </c>
      <c r="T39" s="51">
        <f t="shared" si="6"/>
        <v>0</v>
      </c>
      <c r="U39" s="51">
        <f t="shared" si="6"/>
        <v>0</v>
      </c>
      <c r="V39" s="51">
        <f t="shared" si="6"/>
        <v>0</v>
      </c>
      <c r="W39" s="51">
        <f t="shared" si="6"/>
        <v>0</v>
      </c>
      <c r="X39" s="51">
        <f t="shared" si="6"/>
        <v>0</v>
      </c>
      <c r="Y39" s="51">
        <f t="shared" si="6"/>
        <v>0</v>
      </c>
      <c r="Z39" s="51">
        <f t="shared" si="6"/>
        <v>0</v>
      </c>
      <c r="AA39" s="13"/>
      <c r="AB39" s="40">
        <f>SUM(AB34:AB38)</f>
        <v>5</v>
      </c>
      <c r="AC39" s="19"/>
      <c r="AD39" s="19"/>
      <c r="AE39" s="19"/>
      <c r="AF39" s="19"/>
    </row>
    <row r="40" ht="14.25" customHeight="1">
      <c r="A40" s="13"/>
      <c r="B40" s="13"/>
      <c r="C40" s="52"/>
      <c r="D40" s="13"/>
      <c r="E40" s="52"/>
      <c r="F40" s="13"/>
      <c r="G40" s="13"/>
      <c r="H40" s="5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9"/>
      <c r="AD40" s="19"/>
      <c r="AE40" s="19"/>
      <c r="AF40" s="19"/>
    </row>
    <row r="41" ht="14.25" customHeight="1">
      <c r="A41" s="13"/>
      <c r="B41" s="13"/>
      <c r="C41" s="52"/>
      <c r="D41" s="13"/>
      <c r="E41" s="52"/>
      <c r="F41" s="13"/>
      <c r="G41" s="13"/>
      <c r="H41" s="5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9"/>
      <c r="AD41" s="19"/>
      <c r="AE41" s="19"/>
      <c r="AF41" s="19"/>
    </row>
    <row r="42" ht="6.0" customHeight="1">
      <c r="A42" s="13"/>
      <c r="B42" s="13"/>
      <c r="C42" s="52"/>
      <c r="D42" s="13"/>
      <c r="E42" s="52"/>
      <c r="F42" s="13"/>
      <c r="G42" s="13"/>
      <c r="H42" s="5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9"/>
      <c r="AD42" s="19"/>
      <c r="AE42" s="19"/>
      <c r="AF42" s="19"/>
    </row>
    <row r="43" ht="14.25" customHeight="1">
      <c r="A43" s="13"/>
      <c r="B43" s="13"/>
      <c r="C43" s="64"/>
      <c r="D43" s="49"/>
      <c r="E43" s="49"/>
      <c r="F43" s="49"/>
      <c r="G43" s="49"/>
      <c r="H43" s="50"/>
      <c r="I43" s="65" t="s">
        <v>4</v>
      </c>
      <c r="J43" s="49"/>
      <c r="K43" s="50"/>
      <c r="L43" s="65" t="s">
        <v>5</v>
      </c>
      <c r="M43" s="49"/>
      <c r="N43" s="50"/>
      <c r="O43" s="65" t="s">
        <v>6</v>
      </c>
      <c r="P43" s="49"/>
      <c r="Q43" s="50"/>
      <c r="R43" s="65" t="s">
        <v>31</v>
      </c>
      <c r="S43" s="49"/>
      <c r="T43" s="50"/>
      <c r="U43" s="65" t="s">
        <v>8</v>
      </c>
      <c r="V43" s="49"/>
      <c r="W43" s="49"/>
      <c r="X43" s="65" t="s">
        <v>9</v>
      </c>
      <c r="Y43" s="49"/>
      <c r="Z43" s="50"/>
      <c r="AA43" s="13"/>
      <c r="AB43" s="54" t="s">
        <v>10</v>
      </c>
      <c r="AC43" s="19"/>
      <c r="AD43" s="19"/>
      <c r="AE43" s="19"/>
      <c r="AF43" s="19"/>
    </row>
    <row r="44" ht="44.25" customHeight="1">
      <c r="A44" s="13"/>
      <c r="B44" s="13"/>
      <c r="C44" s="25"/>
      <c r="D44" s="25" t="s">
        <v>44</v>
      </c>
      <c r="E44" s="25" t="s">
        <v>12</v>
      </c>
      <c r="F44" s="25" t="s">
        <v>13</v>
      </c>
      <c r="G44" s="25" t="s">
        <v>14</v>
      </c>
      <c r="H44" s="25" t="s">
        <v>15</v>
      </c>
      <c r="I44" s="26" t="s">
        <v>16</v>
      </c>
      <c r="J44" s="114" t="s">
        <v>17</v>
      </c>
      <c r="K44" s="28" t="s">
        <v>18</v>
      </c>
      <c r="L44" s="26" t="s">
        <v>16</v>
      </c>
      <c r="M44" s="114" t="s">
        <v>17</v>
      </c>
      <c r="N44" s="28" t="s">
        <v>18</v>
      </c>
      <c r="O44" s="26" t="s">
        <v>16</v>
      </c>
      <c r="P44" s="114" t="s">
        <v>17</v>
      </c>
      <c r="Q44" s="28" t="s">
        <v>18</v>
      </c>
      <c r="R44" s="26" t="s">
        <v>16</v>
      </c>
      <c r="S44" s="114" t="s">
        <v>17</v>
      </c>
      <c r="T44" s="28" t="s">
        <v>18</v>
      </c>
      <c r="U44" s="26" t="s">
        <v>16</v>
      </c>
      <c r="V44" s="114" t="s">
        <v>17</v>
      </c>
      <c r="W44" s="28" t="s">
        <v>18</v>
      </c>
      <c r="X44" s="26" t="s">
        <v>16</v>
      </c>
      <c r="Y44" s="114" t="s">
        <v>17</v>
      </c>
      <c r="Z44" s="28" t="s">
        <v>18</v>
      </c>
      <c r="AA44" s="13"/>
      <c r="AB44" s="29"/>
      <c r="AC44" s="19"/>
      <c r="AD44" s="19"/>
      <c r="AE44" s="19"/>
      <c r="AF44" s="19"/>
    </row>
    <row r="45" ht="14.25" customHeight="1">
      <c r="A45" s="13"/>
      <c r="B45" s="13"/>
      <c r="C45" s="115">
        <v>15.0</v>
      </c>
      <c r="D45" s="55" t="s">
        <v>45</v>
      </c>
      <c r="E45" s="56" t="s">
        <v>20</v>
      </c>
      <c r="F45" s="45" t="s">
        <v>41</v>
      </c>
      <c r="G45" s="34">
        <v>3.2</v>
      </c>
      <c r="H45" s="35" t="s">
        <v>26</v>
      </c>
      <c r="I45" s="116"/>
      <c r="J45" s="15"/>
      <c r="K45" s="15"/>
      <c r="L45" s="15"/>
      <c r="M45" s="15"/>
      <c r="N45" s="15"/>
      <c r="O45" s="15"/>
      <c r="P45" s="15"/>
      <c r="Q45" s="16"/>
      <c r="R45" s="117">
        <v>1.0</v>
      </c>
      <c r="S45" s="123"/>
      <c r="T45" s="119"/>
      <c r="U45" s="116"/>
      <c r="V45" s="15"/>
      <c r="W45" s="15"/>
      <c r="X45" s="15"/>
      <c r="Y45" s="15"/>
      <c r="Z45" s="16"/>
      <c r="AA45" s="13"/>
      <c r="AB45" s="40">
        <f t="shared" ref="AB45:AB50" si="7">SUM(I45:Z45)</f>
        <v>1</v>
      </c>
      <c r="AC45" s="19"/>
      <c r="AD45" s="19"/>
      <c r="AE45" s="19"/>
      <c r="AF45" s="19"/>
    </row>
    <row r="46" ht="14.25" customHeight="1">
      <c r="A46" s="13"/>
      <c r="B46" s="13"/>
      <c r="C46" s="115">
        <v>16.0</v>
      </c>
      <c r="D46" s="55" t="s">
        <v>45</v>
      </c>
      <c r="E46" s="23"/>
      <c r="F46" s="23"/>
      <c r="G46" s="23"/>
      <c r="H46" s="35" t="s">
        <v>26</v>
      </c>
      <c r="I46" s="41"/>
      <c r="Q46" s="42"/>
      <c r="R46" s="117">
        <v>1.0</v>
      </c>
      <c r="S46" s="123"/>
      <c r="T46" s="119"/>
      <c r="U46" s="41"/>
      <c r="Z46" s="42"/>
      <c r="AA46" s="13"/>
      <c r="AB46" s="40">
        <f t="shared" si="7"/>
        <v>1</v>
      </c>
      <c r="AC46" s="19"/>
      <c r="AD46" s="19"/>
      <c r="AE46" s="19"/>
      <c r="AF46" s="19"/>
    </row>
    <row r="47" ht="14.25" customHeight="1">
      <c r="A47" s="13"/>
      <c r="B47" s="13"/>
      <c r="C47" s="115">
        <v>17.0</v>
      </c>
      <c r="D47" s="55" t="s">
        <v>45</v>
      </c>
      <c r="E47" s="23"/>
      <c r="F47" s="23"/>
      <c r="G47" s="23"/>
      <c r="H47" s="35" t="s">
        <v>26</v>
      </c>
      <c r="I47" s="41"/>
      <c r="Q47" s="42"/>
      <c r="R47" s="117"/>
      <c r="S47" s="118">
        <v>1.0</v>
      </c>
      <c r="T47" s="119"/>
      <c r="U47" s="41"/>
      <c r="Z47" s="42"/>
      <c r="AA47" s="13"/>
      <c r="AB47" s="40">
        <f t="shared" si="7"/>
        <v>1</v>
      </c>
      <c r="AC47" s="19"/>
      <c r="AD47" s="19"/>
      <c r="AE47" s="19"/>
      <c r="AF47" s="19"/>
    </row>
    <row r="48" ht="14.25" customHeight="1">
      <c r="A48" s="13"/>
      <c r="B48" s="13"/>
      <c r="C48" s="115">
        <v>18.0</v>
      </c>
      <c r="D48" s="55" t="s">
        <v>45</v>
      </c>
      <c r="E48" s="23"/>
      <c r="F48" s="23"/>
      <c r="G48" s="23"/>
      <c r="H48" s="35" t="s">
        <v>26</v>
      </c>
      <c r="I48" s="41"/>
      <c r="Q48" s="42"/>
      <c r="R48" s="117"/>
      <c r="S48" s="118">
        <v>1.0</v>
      </c>
      <c r="T48" s="119"/>
      <c r="U48" s="41"/>
      <c r="Z48" s="42"/>
      <c r="AA48" s="13"/>
      <c r="AB48" s="40">
        <f t="shared" si="7"/>
        <v>1</v>
      </c>
      <c r="AC48" s="19"/>
      <c r="AD48" s="19"/>
      <c r="AE48" s="19"/>
      <c r="AF48" s="19"/>
    </row>
    <row r="49" ht="14.25" customHeight="1">
      <c r="A49" s="13"/>
      <c r="B49" s="13"/>
      <c r="C49" s="115">
        <v>19.0</v>
      </c>
      <c r="D49" s="55" t="s">
        <v>45</v>
      </c>
      <c r="E49" s="23"/>
      <c r="F49" s="23"/>
      <c r="G49" s="23"/>
      <c r="H49" s="35" t="s">
        <v>26</v>
      </c>
      <c r="I49" s="41"/>
      <c r="Q49" s="42"/>
      <c r="R49" s="61"/>
      <c r="S49" s="118">
        <v>1.0</v>
      </c>
      <c r="T49" s="63"/>
      <c r="U49" s="41"/>
      <c r="Z49" s="42"/>
      <c r="AA49" s="13"/>
      <c r="AB49" s="40">
        <f t="shared" si="7"/>
        <v>1</v>
      </c>
      <c r="AC49" s="19"/>
      <c r="AD49" s="19"/>
      <c r="AE49" s="19"/>
      <c r="AF49" s="19"/>
    </row>
    <row r="50" ht="14.25" customHeight="1">
      <c r="A50" s="13"/>
      <c r="B50" s="13"/>
      <c r="C50" s="115">
        <v>20.0</v>
      </c>
      <c r="D50" s="55" t="s">
        <v>45</v>
      </c>
      <c r="E50" s="29"/>
      <c r="F50" s="29"/>
      <c r="G50" s="29"/>
      <c r="H50" s="35" t="s">
        <v>26</v>
      </c>
      <c r="I50" s="20"/>
      <c r="J50" s="21"/>
      <c r="K50" s="21"/>
      <c r="L50" s="21"/>
      <c r="M50" s="21"/>
      <c r="N50" s="21"/>
      <c r="O50" s="21"/>
      <c r="P50" s="21"/>
      <c r="Q50" s="22"/>
      <c r="R50" s="61"/>
      <c r="S50" s="118">
        <v>1.0</v>
      </c>
      <c r="T50" s="63"/>
      <c r="U50" s="20"/>
      <c r="V50" s="21"/>
      <c r="W50" s="21"/>
      <c r="X50" s="21"/>
      <c r="Y50" s="21"/>
      <c r="Z50" s="22"/>
      <c r="AA50" s="13"/>
      <c r="AB50" s="40">
        <f t="shared" si="7"/>
        <v>1</v>
      </c>
      <c r="AC50" s="19"/>
      <c r="AD50" s="19"/>
      <c r="AE50" s="19"/>
      <c r="AF50" s="19"/>
    </row>
    <row r="51" ht="14.25" customHeight="1">
      <c r="A51" s="13"/>
      <c r="B51" s="13"/>
      <c r="C51" s="51"/>
      <c r="D51" s="48" t="s">
        <v>30</v>
      </c>
      <c r="E51" s="49"/>
      <c r="F51" s="49"/>
      <c r="G51" s="49"/>
      <c r="H51" s="50"/>
      <c r="I51" s="47">
        <f t="shared" ref="I51:N51" si="8">SUM(I45:I49)</f>
        <v>0</v>
      </c>
      <c r="J51" s="47">
        <f t="shared" si="8"/>
        <v>0</v>
      </c>
      <c r="K51" s="47">
        <f t="shared" si="8"/>
        <v>0</v>
      </c>
      <c r="L51" s="47">
        <f t="shared" si="8"/>
        <v>0</v>
      </c>
      <c r="M51" s="47">
        <f t="shared" si="8"/>
        <v>0</v>
      </c>
      <c r="N51" s="47">
        <f t="shared" si="8"/>
        <v>0</v>
      </c>
      <c r="O51" s="51">
        <f t="shared" ref="O51:Q51" si="9">SUM(O46:O50)</f>
        <v>0</v>
      </c>
      <c r="P51" s="51">
        <f t="shared" si="9"/>
        <v>0</v>
      </c>
      <c r="Q51" s="51">
        <f t="shared" si="9"/>
        <v>0</v>
      </c>
      <c r="R51" s="51">
        <f>SUM(R45:R50)</f>
        <v>2</v>
      </c>
      <c r="S51" s="51">
        <f t="shared" ref="S51:Z51" si="10">SUM(S46:S50)</f>
        <v>4</v>
      </c>
      <c r="T51" s="51">
        <f t="shared" si="10"/>
        <v>0</v>
      </c>
      <c r="U51" s="51">
        <f t="shared" si="10"/>
        <v>0</v>
      </c>
      <c r="V51" s="51">
        <f t="shared" si="10"/>
        <v>0</v>
      </c>
      <c r="W51" s="51">
        <f t="shared" si="10"/>
        <v>0</v>
      </c>
      <c r="X51" s="51">
        <f t="shared" si="10"/>
        <v>0</v>
      </c>
      <c r="Y51" s="51">
        <f t="shared" si="10"/>
        <v>0</v>
      </c>
      <c r="Z51" s="51">
        <f t="shared" si="10"/>
        <v>0</v>
      </c>
      <c r="AA51" s="13"/>
      <c r="AB51" s="40">
        <f>SUM(AB45:AB50)</f>
        <v>6</v>
      </c>
      <c r="AC51" s="19"/>
      <c r="AD51" s="19"/>
      <c r="AE51" s="19"/>
      <c r="AF51" s="19"/>
    </row>
    <row r="52" ht="14.25" customHeight="1">
      <c r="A52" s="13"/>
      <c r="B52" s="13"/>
      <c r="C52" s="52"/>
      <c r="D52" s="13"/>
      <c r="E52" s="52"/>
      <c r="F52" s="13"/>
      <c r="G52" s="13"/>
      <c r="H52" s="5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9"/>
      <c r="AD52" s="19"/>
      <c r="AE52" s="19"/>
      <c r="AF52" s="19"/>
    </row>
    <row r="53" ht="14.25" customHeight="1">
      <c r="A53" s="13"/>
      <c r="B53" s="13"/>
      <c r="C53" s="52"/>
      <c r="D53" s="13"/>
      <c r="E53" s="52"/>
      <c r="F53" s="13"/>
      <c r="G53" s="13"/>
      <c r="H53" s="5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9"/>
      <c r="AD53" s="19"/>
      <c r="AE53" s="19"/>
      <c r="AF53" s="19"/>
    </row>
    <row r="54" ht="14.25" customHeight="1">
      <c r="A54" s="13"/>
      <c r="B54" s="13"/>
      <c r="C54" s="52"/>
      <c r="D54" s="13"/>
      <c r="E54" s="52"/>
      <c r="F54" s="13"/>
      <c r="G54" s="13"/>
      <c r="H54" s="5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9"/>
      <c r="AD54" s="19"/>
      <c r="AE54" s="19"/>
      <c r="AF54" s="19"/>
    </row>
    <row r="55" ht="14.25" customHeight="1">
      <c r="A55" s="13"/>
      <c r="B55" s="13"/>
      <c r="C55" s="64"/>
      <c r="D55" s="49"/>
      <c r="E55" s="49"/>
      <c r="F55" s="49"/>
      <c r="G55" s="49"/>
      <c r="H55" s="50"/>
      <c r="I55" s="65" t="s">
        <v>4</v>
      </c>
      <c r="J55" s="49"/>
      <c r="K55" s="50"/>
      <c r="L55" s="65" t="s">
        <v>5</v>
      </c>
      <c r="M55" s="49"/>
      <c r="N55" s="50"/>
      <c r="O55" s="65" t="s">
        <v>6</v>
      </c>
      <c r="P55" s="49"/>
      <c r="Q55" s="50"/>
      <c r="R55" s="65" t="s">
        <v>31</v>
      </c>
      <c r="S55" s="49"/>
      <c r="T55" s="50"/>
      <c r="U55" s="65" t="s">
        <v>8</v>
      </c>
      <c r="V55" s="49"/>
      <c r="W55" s="49"/>
      <c r="X55" s="65" t="s">
        <v>9</v>
      </c>
      <c r="Y55" s="49"/>
      <c r="Z55" s="50"/>
      <c r="AA55" s="13"/>
      <c r="AB55" s="54" t="s">
        <v>10</v>
      </c>
      <c r="AC55" s="19"/>
      <c r="AD55" s="19"/>
      <c r="AE55" s="19"/>
      <c r="AF55" s="19"/>
    </row>
    <row r="56" ht="36.75" customHeight="1">
      <c r="A56" s="13"/>
      <c r="B56" s="13"/>
      <c r="C56" s="25"/>
      <c r="D56" s="25" t="s">
        <v>46</v>
      </c>
      <c r="E56" s="25" t="s">
        <v>12</v>
      </c>
      <c r="F56" s="25" t="s">
        <v>13</v>
      </c>
      <c r="G56" s="25" t="s">
        <v>14</v>
      </c>
      <c r="H56" s="25" t="s">
        <v>15</v>
      </c>
      <c r="I56" s="26" t="s">
        <v>16</v>
      </c>
      <c r="J56" s="114" t="s">
        <v>17</v>
      </c>
      <c r="K56" s="28" t="s">
        <v>18</v>
      </c>
      <c r="L56" s="26" t="s">
        <v>47</v>
      </c>
      <c r="M56" s="114" t="s">
        <v>17</v>
      </c>
      <c r="N56" s="28" t="s">
        <v>48</v>
      </c>
      <c r="O56" s="26" t="s">
        <v>16</v>
      </c>
      <c r="P56" s="114" t="s">
        <v>17</v>
      </c>
      <c r="Q56" s="28" t="s">
        <v>18</v>
      </c>
      <c r="R56" s="26" t="s">
        <v>16</v>
      </c>
      <c r="S56" s="114" t="s">
        <v>17</v>
      </c>
      <c r="T56" s="28" t="s">
        <v>18</v>
      </c>
      <c r="U56" s="26" t="s">
        <v>16</v>
      </c>
      <c r="V56" s="114" t="s">
        <v>17</v>
      </c>
      <c r="W56" s="28" t="s">
        <v>18</v>
      </c>
      <c r="X56" s="26" t="s">
        <v>16</v>
      </c>
      <c r="Y56" s="114" t="s">
        <v>17</v>
      </c>
      <c r="Z56" s="28" t="s">
        <v>18</v>
      </c>
      <c r="AA56" s="13"/>
      <c r="AB56" s="29"/>
      <c r="AC56" s="19"/>
      <c r="AD56" s="19"/>
      <c r="AE56" s="19"/>
      <c r="AF56" s="19"/>
    </row>
    <row r="57" ht="14.25" customHeight="1">
      <c r="A57" s="13"/>
      <c r="B57" s="13"/>
      <c r="C57" s="115">
        <v>21.0</v>
      </c>
      <c r="D57" s="55" t="s">
        <v>49</v>
      </c>
      <c r="E57" s="56" t="s">
        <v>23</v>
      </c>
      <c r="F57" s="45" t="s">
        <v>50</v>
      </c>
      <c r="G57" s="67">
        <v>4.3</v>
      </c>
      <c r="H57" s="68" t="s">
        <v>51</v>
      </c>
      <c r="I57" s="116"/>
      <c r="J57" s="15"/>
      <c r="K57" s="15"/>
      <c r="L57" s="15"/>
      <c r="M57" s="15"/>
      <c r="N57" s="16"/>
      <c r="O57" s="117"/>
      <c r="P57" s="118">
        <v>1.0</v>
      </c>
      <c r="Q57" s="119"/>
      <c r="R57" s="17"/>
      <c r="S57" s="15"/>
      <c r="T57" s="15"/>
      <c r="U57" s="15"/>
      <c r="V57" s="15"/>
      <c r="W57" s="15"/>
      <c r="X57" s="15"/>
      <c r="Y57" s="15"/>
      <c r="Z57" s="16"/>
      <c r="AA57" s="13"/>
      <c r="AB57" s="40">
        <f t="shared" ref="AB57:AB61" si="11">SUM(I57:Z57)</f>
        <v>1</v>
      </c>
      <c r="AC57" s="19"/>
      <c r="AD57" s="19"/>
      <c r="AE57" s="19"/>
      <c r="AF57" s="19"/>
    </row>
    <row r="58" ht="14.25" customHeight="1">
      <c r="A58" s="13"/>
      <c r="B58" s="13"/>
      <c r="C58" s="115">
        <v>22.0</v>
      </c>
      <c r="D58" s="55" t="s">
        <v>49</v>
      </c>
      <c r="E58" s="23"/>
      <c r="F58" s="23"/>
      <c r="G58" s="23"/>
      <c r="H58" s="23"/>
      <c r="I58" s="41"/>
      <c r="N58" s="42"/>
      <c r="O58" s="117"/>
      <c r="P58" s="118">
        <v>1.0</v>
      </c>
      <c r="Q58" s="119"/>
      <c r="R58" s="41"/>
      <c r="Z58" s="42"/>
      <c r="AA58" s="13"/>
      <c r="AB58" s="40">
        <f t="shared" si="11"/>
        <v>1</v>
      </c>
      <c r="AC58" s="19"/>
      <c r="AD58" s="19"/>
      <c r="AE58" s="19"/>
      <c r="AF58" s="19"/>
    </row>
    <row r="59" ht="14.25" customHeight="1">
      <c r="A59" s="13"/>
      <c r="B59" s="13"/>
      <c r="C59" s="115">
        <v>23.0</v>
      </c>
      <c r="D59" s="55" t="s">
        <v>49</v>
      </c>
      <c r="E59" s="23"/>
      <c r="F59" s="23"/>
      <c r="G59" s="23"/>
      <c r="H59" s="23"/>
      <c r="I59" s="41"/>
      <c r="N59" s="42"/>
      <c r="O59" s="117"/>
      <c r="P59" s="118">
        <v>1.0</v>
      </c>
      <c r="Q59" s="119"/>
      <c r="R59" s="41"/>
      <c r="Z59" s="42"/>
      <c r="AA59" s="13"/>
      <c r="AB59" s="40">
        <f t="shared" si="11"/>
        <v>1</v>
      </c>
      <c r="AC59" s="19"/>
      <c r="AD59" s="19"/>
      <c r="AE59" s="19"/>
      <c r="AF59" s="19"/>
    </row>
    <row r="60" ht="14.25" customHeight="1">
      <c r="A60" s="13"/>
      <c r="B60" s="13"/>
      <c r="C60" s="115">
        <v>24.0</v>
      </c>
      <c r="D60" s="55" t="s">
        <v>49</v>
      </c>
      <c r="E60" s="23"/>
      <c r="F60" s="23"/>
      <c r="G60" s="23"/>
      <c r="H60" s="23"/>
      <c r="I60" s="41"/>
      <c r="N60" s="42"/>
      <c r="O60" s="117"/>
      <c r="P60" s="118">
        <v>1.0</v>
      </c>
      <c r="Q60" s="119"/>
      <c r="R60" s="41"/>
      <c r="Z60" s="42"/>
      <c r="AA60" s="13"/>
      <c r="AB60" s="40">
        <f t="shared" si="11"/>
        <v>1</v>
      </c>
      <c r="AC60" s="19"/>
      <c r="AD60" s="19"/>
      <c r="AE60" s="19"/>
      <c r="AF60" s="19"/>
    </row>
    <row r="61" ht="14.25" customHeight="1">
      <c r="A61" s="13"/>
      <c r="B61" s="13"/>
      <c r="C61" s="115">
        <v>25.0</v>
      </c>
      <c r="D61" s="55" t="s">
        <v>49</v>
      </c>
      <c r="E61" s="29"/>
      <c r="F61" s="29"/>
      <c r="G61" s="29"/>
      <c r="H61" s="29"/>
      <c r="I61" s="20"/>
      <c r="J61" s="21"/>
      <c r="K61" s="21"/>
      <c r="L61" s="21"/>
      <c r="M61" s="21"/>
      <c r="N61" s="22"/>
      <c r="O61" s="61"/>
      <c r="P61" s="118">
        <v>1.0</v>
      </c>
      <c r="Q61" s="63"/>
      <c r="R61" s="20"/>
      <c r="S61" s="21"/>
      <c r="T61" s="21"/>
      <c r="U61" s="21"/>
      <c r="V61" s="21"/>
      <c r="W61" s="21"/>
      <c r="X61" s="21"/>
      <c r="Y61" s="21"/>
      <c r="Z61" s="22"/>
      <c r="AA61" s="13"/>
      <c r="AB61" s="40">
        <f t="shared" si="11"/>
        <v>1</v>
      </c>
      <c r="AC61" s="19"/>
      <c r="AD61" s="19"/>
      <c r="AE61" s="19"/>
      <c r="AF61" s="19"/>
    </row>
    <row r="62" ht="14.25" customHeight="1">
      <c r="A62" s="13"/>
      <c r="B62" s="13"/>
      <c r="C62" s="51"/>
      <c r="D62" s="48" t="s">
        <v>30</v>
      </c>
      <c r="E62" s="49"/>
      <c r="F62" s="49"/>
      <c r="G62" s="49"/>
      <c r="H62" s="50"/>
      <c r="I62" s="51">
        <f t="shared" ref="I62:Z62" si="12">SUM(I57:I61)</f>
        <v>0</v>
      </c>
      <c r="J62" s="51">
        <f t="shared" si="12"/>
        <v>0</v>
      </c>
      <c r="K62" s="51">
        <f t="shared" si="12"/>
        <v>0</v>
      </c>
      <c r="L62" s="51">
        <f t="shared" si="12"/>
        <v>0</v>
      </c>
      <c r="M62" s="51">
        <f t="shared" si="12"/>
        <v>0</v>
      </c>
      <c r="N62" s="51">
        <f t="shared" si="12"/>
        <v>0</v>
      </c>
      <c r="O62" s="51">
        <f t="shared" si="12"/>
        <v>0</v>
      </c>
      <c r="P62" s="51">
        <f t="shared" si="12"/>
        <v>5</v>
      </c>
      <c r="Q62" s="51">
        <f t="shared" si="12"/>
        <v>0</v>
      </c>
      <c r="R62" s="51">
        <f t="shared" si="12"/>
        <v>0</v>
      </c>
      <c r="S62" s="51">
        <f t="shared" si="12"/>
        <v>0</v>
      </c>
      <c r="T62" s="51">
        <f t="shared" si="12"/>
        <v>0</v>
      </c>
      <c r="U62" s="51">
        <f t="shared" si="12"/>
        <v>0</v>
      </c>
      <c r="V62" s="51">
        <f t="shared" si="12"/>
        <v>0</v>
      </c>
      <c r="W62" s="51">
        <f t="shared" si="12"/>
        <v>0</v>
      </c>
      <c r="X62" s="51">
        <f t="shared" si="12"/>
        <v>0</v>
      </c>
      <c r="Y62" s="70">
        <f t="shared" si="12"/>
        <v>0</v>
      </c>
      <c r="Z62" s="70">
        <f t="shared" si="12"/>
        <v>0</v>
      </c>
      <c r="AA62" s="13"/>
      <c r="AB62" s="40">
        <f>SUM(AB57:AB61)</f>
        <v>5</v>
      </c>
      <c r="AC62" s="19"/>
      <c r="AD62" s="19"/>
      <c r="AE62" s="19"/>
      <c r="AF62" s="19"/>
    </row>
    <row r="63" ht="14.25" customHeight="1">
      <c r="A63" s="13"/>
      <c r="B63" s="13"/>
      <c r="C63" s="52"/>
      <c r="D63" s="13"/>
      <c r="E63" s="52"/>
      <c r="F63" s="13"/>
      <c r="G63" s="13"/>
      <c r="H63" s="5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9"/>
      <c r="AD63" s="19"/>
      <c r="AE63" s="19"/>
      <c r="AF63" s="19"/>
    </row>
    <row r="64" ht="14.25" customHeight="1">
      <c r="A64" s="13"/>
      <c r="B64" s="13"/>
      <c r="C64" s="52"/>
      <c r="D64" s="13"/>
      <c r="E64" s="52"/>
      <c r="F64" s="13"/>
      <c r="G64" s="13"/>
      <c r="H64" s="5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9"/>
      <c r="AD64" s="19"/>
      <c r="AE64" s="19"/>
      <c r="AF64" s="19"/>
    </row>
    <row r="65" ht="14.25" customHeight="1">
      <c r="A65" s="13"/>
      <c r="B65" s="13"/>
      <c r="C65" s="52"/>
      <c r="D65" s="71" t="s">
        <v>52</v>
      </c>
      <c r="E65" s="72"/>
      <c r="F65" s="124" t="s">
        <v>16</v>
      </c>
      <c r="G65" s="72"/>
      <c r="H65" s="125" t="s">
        <v>17</v>
      </c>
      <c r="I65" s="126" t="s">
        <v>18</v>
      </c>
      <c r="J65" s="72"/>
      <c r="K65" s="75"/>
      <c r="L65" s="13"/>
      <c r="M65" s="76" t="s">
        <v>53</v>
      </c>
      <c r="N65" s="77"/>
      <c r="O65" s="78"/>
      <c r="P65" s="79" t="s">
        <v>54</v>
      </c>
      <c r="Q65" s="80"/>
      <c r="R65" s="80"/>
      <c r="S65" s="80"/>
      <c r="T65" s="80"/>
      <c r="U65" s="72"/>
      <c r="V65" s="79" t="s">
        <v>55</v>
      </c>
      <c r="W65" s="80"/>
      <c r="X65" s="80"/>
      <c r="Y65" s="80"/>
      <c r="Z65" s="80"/>
      <c r="AA65" s="80"/>
      <c r="AB65" s="72"/>
      <c r="AC65" s="88"/>
      <c r="AD65" s="88"/>
      <c r="AE65" s="88"/>
      <c r="AF65" s="19"/>
    </row>
    <row r="66" ht="14.25" customHeight="1">
      <c r="A66" s="13"/>
      <c r="B66" s="13"/>
      <c r="C66" s="52"/>
      <c r="D66" s="71" t="s">
        <v>56</v>
      </c>
      <c r="E66" s="72"/>
      <c r="F66" s="83">
        <f>SUM(L16,O27,L39,R51,O62,)</f>
        <v>5</v>
      </c>
      <c r="G66" s="72"/>
      <c r="H66" s="82">
        <f t="shared" ref="H66:I66" si="13">SUM(M16,P27,M39,S51,P62,Y87,Y101)</f>
        <v>16</v>
      </c>
      <c r="I66" s="83">
        <f t="shared" si="13"/>
        <v>6</v>
      </c>
      <c r="J66" s="72"/>
      <c r="K66" s="13"/>
      <c r="L66" s="13"/>
      <c r="M66" s="84"/>
      <c r="O66" s="85"/>
      <c r="P66" s="127"/>
      <c r="Q66" s="86" t="s">
        <v>57</v>
      </c>
      <c r="R66" s="86"/>
      <c r="S66" s="86"/>
      <c r="T66" s="86" t="s">
        <v>58</v>
      </c>
      <c r="U66" s="86"/>
      <c r="V66" s="79" t="s">
        <v>59</v>
      </c>
      <c r="W66" s="72"/>
      <c r="X66" s="79" t="s">
        <v>31</v>
      </c>
      <c r="Y66" s="72"/>
      <c r="Z66" s="79" t="s">
        <v>60</v>
      </c>
      <c r="AA66" s="72"/>
      <c r="AB66" s="87" t="s">
        <v>61</v>
      </c>
      <c r="AC66" s="81"/>
      <c r="AD66" s="81"/>
      <c r="AE66" s="81"/>
      <c r="AF66" s="19"/>
    </row>
    <row r="67" ht="14.25" customHeight="1">
      <c r="A67" s="13"/>
      <c r="B67" s="13"/>
      <c r="C67" s="52"/>
      <c r="D67" s="13"/>
      <c r="E67" s="52"/>
      <c r="F67" s="13"/>
      <c r="G67" s="13"/>
      <c r="H67" s="52"/>
      <c r="I67" s="13"/>
      <c r="J67" s="13"/>
      <c r="K67" s="13"/>
      <c r="L67" s="13"/>
      <c r="M67" s="84"/>
      <c r="O67" s="85"/>
      <c r="P67" s="79">
        <v>0.0</v>
      </c>
      <c r="Q67" s="80"/>
      <c r="R67" s="72"/>
      <c r="S67" s="86"/>
      <c r="T67" s="86" t="s">
        <v>62</v>
      </c>
      <c r="U67" s="86"/>
      <c r="V67" s="79" t="s">
        <v>63</v>
      </c>
      <c r="W67" s="72"/>
      <c r="X67" s="79" t="s">
        <v>64</v>
      </c>
      <c r="Y67" s="72"/>
      <c r="Z67" s="79">
        <v>0.0</v>
      </c>
      <c r="AA67" s="72"/>
      <c r="AB67" s="87" t="s">
        <v>96</v>
      </c>
      <c r="AC67" s="81"/>
      <c r="AD67" s="81"/>
      <c r="AE67" s="81"/>
      <c r="AF67" s="19"/>
    </row>
    <row r="68" ht="14.25" customHeight="1">
      <c r="A68" s="13"/>
      <c r="B68" s="13"/>
      <c r="C68" s="52"/>
      <c r="D68" s="13"/>
      <c r="E68" s="52"/>
      <c r="F68" s="13"/>
      <c r="G68" s="13"/>
      <c r="H68" s="52"/>
      <c r="I68" s="13"/>
      <c r="J68" s="13"/>
      <c r="K68" s="13"/>
      <c r="L68" s="13"/>
      <c r="M68" s="89"/>
      <c r="N68" s="90"/>
      <c r="O68" s="91"/>
      <c r="P68" s="79" t="s">
        <v>66</v>
      </c>
      <c r="Q68" s="80"/>
      <c r="R68" s="72"/>
      <c r="S68" s="86"/>
      <c r="T68" s="92" t="s">
        <v>67</v>
      </c>
      <c r="U68" s="92"/>
      <c r="V68" s="93" t="s">
        <v>97</v>
      </c>
      <c r="W68" s="72"/>
      <c r="X68" s="93" t="s">
        <v>69</v>
      </c>
      <c r="Y68" s="72"/>
      <c r="Z68" s="79">
        <v>0.0</v>
      </c>
      <c r="AA68" s="72"/>
      <c r="AB68" s="128" t="s">
        <v>70</v>
      </c>
      <c r="AC68" s="81"/>
      <c r="AD68" s="81"/>
      <c r="AE68" s="81"/>
      <c r="AF68" s="19"/>
    </row>
    <row r="69" ht="14.25" customHeight="1">
      <c r="A69" s="13"/>
      <c r="B69" s="13"/>
      <c r="C69" s="52"/>
      <c r="D69" s="13"/>
      <c r="E69" s="52"/>
      <c r="F69" s="13"/>
      <c r="G69" s="13"/>
      <c r="H69" s="52"/>
      <c r="I69" s="13"/>
      <c r="J69" s="13"/>
      <c r="K69" s="13"/>
      <c r="L69" s="13"/>
      <c r="M69" s="79" t="s">
        <v>71</v>
      </c>
      <c r="N69" s="80"/>
      <c r="O69" s="72"/>
      <c r="P69" s="79" t="s">
        <v>72</v>
      </c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72"/>
      <c r="AC69" s="129"/>
      <c r="AD69" s="130"/>
      <c r="AE69" s="130"/>
      <c r="AF69" s="19"/>
    </row>
    <row r="70" ht="14.25" customHeight="1">
      <c r="A70" s="13"/>
      <c r="B70" s="13"/>
      <c r="C70" s="52"/>
      <c r="D70" s="13"/>
      <c r="E70" s="52"/>
      <c r="F70" s="13"/>
      <c r="G70" s="13"/>
      <c r="H70" s="52"/>
      <c r="I70" s="13"/>
      <c r="J70" s="13"/>
      <c r="K70" s="13"/>
      <c r="L70" s="13"/>
      <c r="M70" s="93" t="s">
        <v>98</v>
      </c>
      <c r="N70" s="80"/>
      <c r="O70" s="72"/>
      <c r="P70" s="93">
        <v>20.0</v>
      </c>
      <c r="Q70" s="80"/>
      <c r="R70" s="80"/>
      <c r="S70" s="80"/>
      <c r="T70" s="80"/>
      <c r="U70" s="72"/>
      <c r="V70" s="93">
        <v>80.0</v>
      </c>
      <c r="W70" s="80"/>
      <c r="X70" s="80"/>
      <c r="Y70" s="80"/>
      <c r="Z70" s="80"/>
      <c r="AA70" s="80"/>
      <c r="AB70" s="72"/>
      <c r="AC70" s="88"/>
      <c r="AD70" s="88"/>
      <c r="AE70" s="88"/>
      <c r="AF70" s="19"/>
    </row>
    <row r="71" ht="14.25" customHeight="1">
      <c r="A71" s="13"/>
      <c r="B71" s="13"/>
      <c r="C71" s="52"/>
      <c r="D71" s="13"/>
      <c r="E71" s="52"/>
      <c r="F71" s="13"/>
      <c r="G71" s="13"/>
      <c r="H71" s="52"/>
      <c r="I71" s="13"/>
      <c r="J71" s="13"/>
      <c r="K71" s="13"/>
      <c r="L71" s="13"/>
      <c r="M71" s="13"/>
      <c r="N71" s="13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52"/>
    </row>
    <row r="72" ht="14.25" customHeight="1">
      <c r="A72" s="13"/>
      <c r="B72" s="13"/>
      <c r="C72" s="52"/>
      <c r="D72" s="13"/>
      <c r="E72" s="52"/>
      <c r="F72" s="13"/>
      <c r="G72" s="13"/>
      <c r="H72" s="5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9"/>
      <c r="AD72" s="19"/>
      <c r="AE72" s="19"/>
      <c r="AF72" s="19"/>
    </row>
    <row r="73" ht="14.25" customHeight="1">
      <c r="A73" s="13"/>
      <c r="B73" s="13"/>
      <c r="C73" s="52"/>
      <c r="D73" s="13"/>
      <c r="E73" s="52"/>
      <c r="F73" s="13"/>
      <c r="G73" s="13"/>
      <c r="H73" s="5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9"/>
      <c r="AD73" s="19"/>
      <c r="AE73" s="19"/>
      <c r="AF73" s="19"/>
    </row>
    <row r="74" ht="14.25" customHeight="1">
      <c r="A74" s="13"/>
      <c r="B74" s="13"/>
      <c r="C74" s="52"/>
      <c r="D74" s="13"/>
      <c r="E74" s="52"/>
      <c r="F74" s="13"/>
      <c r="G74" s="13"/>
      <c r="H74" s="52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9"/>
      <c r="AD74" s="19"/>
      <c r="AE74" s="19"/>
      <c r="AF74" s="19"/>
    </row>
    <row r="75" ht="14.25" customHeight="1">
      <c r="A75" s="13"/>
      <c r="B75" s="13"/>
      <c r="C75" s="64"/>
      <c r="D75" s="49"/>
      <c r="E75" s="49"/>
      <c r="F75" s="49"/>
      <c r="G75" s="49"/>
      <c r="H75" s="50"/>
      <c r="I75" s="65" t="s">
        <v>4</v>
      </c>
      <c r="J75" s="49"/>
      <c r="K75" s="50"/>
      <c r="L75" s="65" t="s">
        <v>5</v>
      </c>
      <c r="M75" s="49"/>
      <c r="N75" s="50"/>
      <c r="O75" s="65" t="s">
        <v>6</v>
      </c>
      <c r="P75" s="49"/>
      <c r="Q75" s="50"/>
      <c r="R75" s="65" t="s">
        <v>31</v>
      </c>
      <c r="S75" s="49"/>
      <c r="T75" s="50"/>
      <c r="U75" s="65" t="s">
        <v>8</v>
      </c>
      <c r="V75" s="49"/>
      <c r="W75" s="49"/>
      <c r="X75" s="65" t="s">
        <v>9</v>
      </c>
      <c r="Y75" s="49"/>
      <c r="Z75" s="50"/>
      <c r="AA75" s="13"/>
      <c r="AB75" s="54" t="s">
        <v>10</v>
      </c>
      <c r="AC75" s="19"/>
      <c r="AD75" s="19"/>
      <c r="AE75" s="19"/>
      <c r="AF75" s="19"/>
    </row>
    <row r="76" ht="50.25" customHeight="1">
      <c r="A76" s="13"/>
      <c r="B76" s="13"/>
      <c r="C76" s="25"/>
      <c r="D76" s="25" t="s">
        <v>74</v>
      </c>
      <c r="E76" s="25" t="s">
        <v>12</v>
      </c>
      <c r="F76" s="25" t="s">
        <v>13</v>
      </c>
      <c r="G76" s="25" t="s">
        <v>14</v>
      </c>
      <c r="H76" s="97" t="s">
        <v>15</v>
      </c>
      <c r="I76" s="26" t="s">
        <v>16</v>
      </c>
      <c r="J76" s="114" t="s">
        <v>17</v>
      </c>
      <c r="K76" s="28" t="s">
        <v>18</v>
      </c>
      <c r="L76" s="26" t="s">
        <v>16</v>
      </c>
      <c r="M76" s="114" t="s">
        <v>17</v>
      </c>
      <c r="N76" s="28" t="s">
        <v>18</v>
      </c>
      <c r="O76" s="26" t="s">
        <v>16</v>
      </c>
      <c r="P76" s="114" t="s">
        <v>17</v>
      </c>
      <c r="Q76" s="28" t="s">
        <v>18</v>
      </c>
      <c r="R76" s="26" t="s">
        <v>16</v>
      </c>
      <c r="S76" s="114" t="s">
        <v>17</v>
      </c>
      <c r="T76" s="28" t="s">
        <v>18</v>
      </c>
      <c r="U76" s="26" t="s">
        <v>16</v>
      </c>
      <c r="V76" s="114" t="s">
        <v>17</v>
      </c>
      <c r="W76" s="28" t="s">
        <v>18</v>
      </c>
      <c r="X76" s="26" t="s">
        <v>16</v>
      </c>
      <c r="Y76" s="114" t="s">
        <v>17</v>
      </c>
      <c r="Z76" s="28" t="s">
        <v>18</v>
      </c>
      <c r="AA76" s="13"/>
      <c r="AB76" s="29"/>
      <c r="AC76" s="19"/>
      <c r="AD76" s="19"/>
      <c r="AE76" s="19"/>
      <c r="AF76" s="19"/>
    </row>
    <row r="77" ht="14.25" customHeight="1">
      <c r="A77" s="13"/>
      <c r="B77" s="13"/>
      <c r="C77" s="131">
        <v>26.0</v>
      </c>
      <c r="D77" s="99" t="s">
        <v>76</v>
      </c>
      <c r="E77" s="56" t="s">
        <v>20</v>
      </c>
      <c r="F77" s="45" t="s">
        <v>50</v>
      </c>
      <c r="G77" s="45">
        <v>4.2</v>
      </c>
      <c r="H77" s="68" t="s">
        <v>78</v>
      </c>
      <c r="I77" s="116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6"/>
      <c r="X77" s="132"/>
      <c r="Y77" s="133"/>
      <c r="Z77" s="134">
        <v>1.0</v>
      </c>
      <c r="AA77" s="13"/>
      <c r="AB77" s="103">
        <f>SUM(I77:Z77)</f>
        <v>1</v>
      </c>
      <c r="AC77" s="19"/>
      <c r="AD77" s="19"/>
      <c r="AE77" s="19"/>
      <c r="AF77" s="19"/>
    </row>
    <row r="78" ht="14.25" customHeight="1">
      <c r="A78" s="13"/>
      <c r="B78" s="13"/>
      <c r="C78" s="23"/>
      <c r="D78" s="23"/>
      <c r="E78" s="23"/>
      <c r="F78" s="23"/>
      <c r="G78" s="23"/>
      <c r="H78" s="23"/>
      <c r="I78" s="41"/>
      <c r="W78" s="42"/>
      <c r="X78" s="23"/>
      <c r="Y78" s="23"/>
      <c r="Z78" s="23"/>
      <c r="AA78" s="13"/>
      <c r="AB78" s="23"/>
      <c r="AC78" s="19"/>
      <c r="AD78" s="19"/>
      <c r="AE78" s="19"/>
      <c r="AF78" s="19"/>
    </row>
    <row r="79" ht="14.25" customHeight="1">
      <c r="A79" s="13"/>
      <c r="B79" s="13"/>
      <c r="C79" s="23"/>
      <c r="D79" s="23"/>
      <c r="E79" s="23"/>
      <c r="F79" s="23"/>
      <c r="G79" s="23"/>
      <c r="H79" s="29"/>
      <c r="I79" s="41"/>
      <c r="W79" s="42"/>
      <c r="X79" s="23"/>
      <c r="Y79" s="23"/>
      <c r="Z79" s="23"/>
      <c r="AA79" s="13"/>
      <c r="AB79" s="23"/>
      <c r="AC79" s="19"/>
      <c r="AD79" s="19"/>
      <c r="AE79" s="19"/>
      <c r="AF79" s="19"/>
    </row>
    <row r="80" ht="14.25" customHeight="1">
      <c r="A80" s="13"/>
      <c r="B80" s="13"/>
      <c r="C80" s="23"/>
      <c r="D80" s="23"/>
      <c r="E80" s="23"/>
      <c r="F80" s="23"/>
      <c r="G80" s="23"/>
      <c r="H80" s="68" t="s">
        <v>79</v>
      </c>
      <c r="I80" s="41"/>
      <c r="W80" s="42"/>
      <c r="X80" s="23"/>
      <c r="Y80" s="23"/>
      <c r="Z80" s="23"/>
      <c r="AA80" s="13"/>
      <c r="AB80" s="23"/>
      <c r="AC80" s="19"/>
      <c r="AD80" s="19"/>
      <c r="AE80" s="19"/>
      <c r="AF80" s="19"/>
    </row>
    <row r="81" ht="14.25" customHeight="1">
      <c r="A81" s="13"/>
      <c r="B81" s="13"/>
      <c r="C81" s="23"/>
      <c r="D81" s="23"/>
      <c r="E81" s="23"/>
      <c r="F81" s="23"/>
      <c r="G81" s="23"/>
      <c r="H81" s="23"/>
      <c r="I81" s="41"/>
      <c r="W81" s="42"/>
      <c r="X81" s="23"/>
      <c r="Y81" s="23"/>
      <c r="Z81" s="23"/>
      <c r="AA81" s="13"/>
      <c r="AB81" s="23"/>
      <c r="AC81" s="19"/>
      <c r="AD81" s="19"/>
      <c r="AE81" s="19"/>
      <c r="AF81" s="19"/>
    </row>
    <row r="82" ht="14.25" customHeight="1">
      <c r="A82" s="13"/>
      <c r="B82" s="13"/>
      <c r="C82" s="23"/>
      <c r="D82" s="23"/>
      <c r="E82" s="23"/>
      <c r="F82" s="23"/>
      <c r="G82" s="23"/>
      <c r="H82" s="23"/>
      <c r="I82" s="41"/>
      <c r="W82" s="42"/>
      <c r="X82" s="23"/>
      <c r="Y82" s="23"/>
      <c r="Z82" s="23"/>
      <c r="AA82" s="13"/>
      <c r="AB82" s="23"/>
      <c r="AC82" s="19"/>
      <c r="AD82" s="19"/>
      <c r="AE82" s="19"/>
      <c r="AF82" s="19"/>
    </row>
    <row r="83" ht="14.25" customHeight="1">
      <c r="A83" s="13"/>
      <c r="B83" s="13"/>
      <c r="C83" s="23"/>
      <c r="D83" s="23"/>
      <c r="E83" s="23"/>
      <c r="F83" s="23"/>
      <c r="G83" s="29"/>
      <c r="H83" s="29"/>
      <c r="I83" s="41"/>
      <c r="W83" s="42"/>
      <c r="X83" s="23"/>
      <c r="Y83" s="23"/>
      <c r="Z83" s="23"/>
      <c r="AA83" s="13"/>
      <c r="AB83" s="23"/>
      <c r="AC83" s="19"/>
      <c r="AD83" s="19"/>
      <c r="AE83" s="19"/>
      <c r="AF83" s="19"/>
    </row>
    <row r="84" ht="14.25" customHeight="1">
      <c r="A84" s="13"/>
      <c r="B84" s="13"/>
      <c r="C84" s="23"/>
      <c r="D84" s="23"/>
      <c r="E84" s="23"/>
      <c r="F84" s="23"/>
      <c r="G84" s="45">
        <v>4.3</v>
      </c>
      <c r="H84" s="35" t="s">
        <v>80</v>
      </c>
      <c r="I84" s="41"/>
      <c r="W84" s="42"/>
      <c r="X84" s="23"/>
      <c r="Y84" s="23"/>
      <c r="Z84" s="23"/>
      <c r="AA84" s="13"/>
      <c r="AB84" s="23"/>
      <c r="AC84" s="19"/>
      <c r="AD84" s="19"/>
      <c r="AE84" s="19"/>
      <c r="AF84" s="19"/>
    </row>
    <row r="85" ht="14.25" customHeight="1">
      <c r="A85" s="13"/>
      <c r="B85" s="13"/>
      <c r="C85" s="23"/>
      <c r="D85" s="23"/>
      <c r="E85" s="23"/>
      <c r="F85" s="23"/>
      <c r="G85" s="23"/>
      <c r="H85" s="68" t="s">
        <v>51</v>
      </c>
      <c r="I85" s="41"/>
      <c r="W85" s="42"/>
      <c r="X85" s="23"/>
      <c r="Y85" s="23"/>
      <c r="Z85" s="23"/>
      <c r="AA85" s="13"/>
      <c r="AB85" s="23"/>
      <c r="AC85" s="19"/>
      <c r="AD85" s="19"/>
      <c r="AE85" s="19"/>
      <c r="AF85" s="19"/>
    </row>
    <row r="86" ht="14.25" customHeight="1">
      <c r="A86" s="13"/>
      <c r="B86" s="13"/>
      <c r="C86" s="29"/>
      <c r="D86" s="29"/>
      <c r="E86" s="29"/>
      <c r="F86" s="29"/>
      <c r="G86" s="29"/>
      <c r="H86" s="29"/>
      <c r="I86" s="20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2"/>
      <c r="X86" s="29"/>
      <c r="Y86" s="29"/>
      <c r="Z86" s="29"/>
      <c r="AA86" s="13"/>
      <c r="AB86" s="29"/>
      <c r="AC86" s="19"/>
      <c r="AD86" s="19"/>
      <c r="AE86" s="19"/>
      <c r="AF86" s="19"/>
    </row>
    <row r="87" ht="14.25" customHeight="1">
      <c r="A87" s="13"/>
      <c r="B87" s="13"/>
      <c r="C87" s="51"/>
      <c r="D87" s="48" t="s">
        <v>30</v>
      </c>
      <c r="E87" s="49"/>
      <c r="F87" s="49"/>
      <c r="G87" s="49"/>
      <c r="H87" s="50"/>
      <c r="I87" s="51">
        <f t="shared" ref="I87:Y87" si="14">SUM(I82:I86)</f>
        <v>0</v>
      </c>
      <c r="J87" s="51">
        <f t="shared" si="14"/>
        <v>0</v>
      </c>
      <c r="K87" s="51">
        <f t="shared" si="14"/>
        <v>0</v>
      </c>
      <c r="L87" s="51">
        <f t="shared" si="14"/>
        <v>0</v>
      </c>
      <c r="M87" s="51">
        <f t="shared" si="14"/>
        <v>0</v>
      </c>
      <c r="N87" s="51">
        <f t="shared" si="14"/>
        <v>0</v>
      </c>
      <c r="O87" s="51">
        <f t="shared" si="14"/>
        <v>0</v>
      </c>
      <c r="P87" s="51">
        <f t="shared" si="14"/>
        <v>0</v>
      </c>
      <c r="Q87" s="51">
        <f t="shared" si="14"/>
        <v>0</v>
      </c>
      <c r="R87" s="51">
        <f t="shared" si="14"/>
        <v>0</v>
      </c>
      <c r="S87" s="51">
        <f t="shared" si="14"/>
        <v>0</v>
      </c>
      <c r="T87" s="51">
        <f t="shared" si="14"/>
        <v>0</v>
      </c>
      <c r="U87" s="51">
        <f t="shared" si="14"/>
        <v>0</v>
      </c>
      <c r="V87" s="70">
        <f t="shared" si="14"/>
        <v>0</v>
      </c>
      <c r="W87" s="70">
        <f t="shared" si="14"/>
        <v>0</v>
      </c>
      <c r="X87" s="70">
        <f t="shared" si="14"/>
        <v>0</v>
      </c>
      <c r="Y87" s="70">
        <f t="shared" si="14"/>
        <v>0</v>
      </c>
      <c r="Z87" s="70">
        <f>SUM(Z77:Z85)</f>
        <v>1</v>
      </c>
      <c r="AA87" s="13"/>
      <c r="AB87" s="40">
        <f>SUM(AB77:AB85)</f>
        <v>1</v>
      </c>
      <c r="AC87" s="19"/>
      <c r="AD87" s="19"/>
      <c r="AE87" s="19"/>
      <c r="AF87" s="19"/>
    </row>
    <row r="88" ht="14.25" customHeight="1">
      <c r="A88" s="13"/>
      <c r="B88" s="13"/>
      <c r="C88" s="52"/>
      <c r="D88" s="13"/>
      <c r="E88" s="52"/>
      <c r="F88" s="13"/>
      <c r="G88" s="13"/>
      <c r="H88" s="52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9"/>
      <c r="AD88" s="19"/>
      <c r="AE88" s="19"/>
      <c r="AF88" s="19"/>
    </row>
    <row r="89" ht="14.25" customHeight="1">
      <c r="A89" s="13"/>
      <c r="B89" s="13"/>
      <c r="C89" s="52"/>
      <c r="D89" s="13"/>
      <c r="E89" s="52"/>
      <c r="F89" s="13"/>
      <c r="G89" s="13"/>
      <c r="H89" s="52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9"/>
      <c r="AD89" s="19"/>
      <c r="AE89" s="19"/>
      <c r="AF89" s="19"/>
    </row>
    <row r="90" ht="14.25" customHeight="1">
      <c r="A90" s="13"/>
      <c r="B90" s="13"/>
      <c r="C90" s="52"/>
      <c r="D90" s="13"/>
      <c r="E90" s="52"/>
      <c r="F90" s="13"/>
      <c r="G90" s="13"/>
      <c r="H90" s="52"/>
      <c r="I90" s="13"/>
      <c r="J90" s="13"/>
      <c r="K90" s="10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9"/>
      <c r="AD90" s="19"/>
      <c r="AE90" s="19"/>
      <c r="AF90" s="19"/>
    </row>
    <row r="91" ht="14.25" customHeight="1">
      <c r="A91" s="13"/>
      <c r="B91" s="13"/>
      <c r="C91" s="64"/>
      <c r="D91" s="49"/>
      <c r="E91" s="49"/>
      <c r="F91" s="49"/>
      <c r="G91" s="49"/>
      <c r="H91" s="50"/>
      <c r="I91" s="65" t="s">
        <v>4</v>
      </c>
      <c r="J91" s="49"/>
      <c r="K91" s="50"/>
      <c r="L91" s="65" t="s">
        <v>5</v>
      </c>
      <c r="M91" s="49"/>
      <c r="N91" s="50"/>
      <c r="O91" s="65" t="s">
        <v>6</v>
      </c>
      <c r="P91" s="49"/>
      <c r="Q91" s="50"/>
      <c r="R91" s="65" t="s">
        <v>31</v>
      </c>
      <c r="S91" s="49"/>
      <c r="T91" s="50"/>
      <c r="U91" s="65" t="s">
        <v>8</v>
      </c>
      <c r="V91" s="49"/>
      <c r="W91" s="49"/>
      <c r="X91" s="65" t="s">
        <v>9</v>
      </c>
      <c r="Y91" s="49"/>
      <c r="Z91" s="50"/>
      <c r="AA91" s="13"/>
      <c r="AB91" s="54" t="s">
        <v>10</v>
      </c>
      <c r="AC91" s="19"/>
      <c r="AD91" s="19"/>
      <c r="AE91" s="19"/>
      <c r="AF91" s="19"/>
    </row>
    <row r="92" ht="51.0" customHeight="1">
      <c r="A92" s="13"/>
      <c r="B92" s="13"/>
      <c r="C92" s="25"/>
      <c r="D92" s="25" t="s">
        <v>81</v>
      </c>
      <c r="E92" s="25" t="s">
        <v>12</v>
      </c>
      <c r="F92" s="25" t="s">
        <v>75</v>
      </c>
      <c r="G92" s="25" t="s">
        <v>14</v>
      </c>
      <c r="H92" s="25" t="s">
        <v>15</v>
      </c>
      <c r="I92" s="26" t="s">
        <v>16</v>
      </c>
      <c r="J92" s="114" t="s">
        <v>17</v>
      </c>
      <c r="K92" s="28" t="s">
        <v>18</v>
      </c>
      <c r="L92" s="26" t="s">
        <v>16</v>
      </c>
      <c r="M92" s="114" t="s">
        <v>17</v>
      </c>
      <c r="N92" s="28" t="s">
        <v>18</v>
      </c>
      <c r="O92" s="26" t="s">
        <v>16</v>
      </c>
      <c r="P92" s="114" t="s">
        <v>17</v>
      </c>
      <c r="Q92" s="28" t="s">
        <v>18</v>
      </c>
      <c r="R92" s="26" t="s">
        <v>16</v>
      </c>
      <c r="S92" s="114" t="s">
        <v>17</v>
      </c>
      <c r="T92" s="28" t="s">
        <v>18</v>
      </c>
      <c r="U92" s="26" t="s">
        <v>16</v>
      </c>
      <c r="V92" s="114" t="s">
        <v>17</v>
      </c>
      <c r="W92" s="28" t="s">
        <v>18</v>
      </c>
      <c r="X92" s="26" t="s">
        <v>16</v>
      </c>
      <c r="Y92" s="114" t="s">
        <v>17</v>
      </c>
      <c r="Z92" s="28" t="s">
        <v>18</v>
      </c>
      <c r="AA92" s="13"/>
      <c r="AB92" s="29"/>
      <c r="AC92" s="19"/>
      <c r="AD92" s="19"/>
      <c r="AE92" s="19"/>
      <c r="AF92" s="19"/>
    </row>
    <row r="93" ht="14.25" customHeight="1">
      <c r="A93" s="13"/>
      <c r="B93" s="13"/>
      <c r="C93" s="131">
        <v>27.0</v>
      </c>
      <c r="D93" s="99" t="s">
        <v>82</v>
      </c>
      <c r="E93" s="56" t="s">
        <v>20</v>
      </c>
      <c r="F93" s="45" t="s">
        <v>50</v>
      </c>
      <c r="G93" s="34">
        <v>4.2</v>
      </c>
      <c r="H93" s="35" t="s">
        <v>83</v>
      </c>
      <c r="I93" s="116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6"/>
      <c r="X93" s="132"/>
      <c r="Y93" s="133"/>
      <c r="Z93" s="134">
        <v>1.0</v>
      </c>
      <c r="AA93" s="13"/>
      <c r="AB93" s="103">
        <f>SUM(I93:Z93)</f>
        <v>1</v>
      </c>
      <c r="AC93" s="19"/>
      <c r="AD93" s="19"/>
      <c r="AE93" s="19"/>
      <c r="AF93" s="19"/>
    </row>
    <row r="94" ht="14.25" customHeight="1">
      <c r="A94" s="13"/>
      <c r="B94" s="13"/>
      <c r="C94" s="23"/>
      <c r="D94" s="23"/>
      <c r="E94" s="23"/>
      <c r="F94" s="23"/>
      <c r="G94" s="23"/>
      <c r="H94" s="68" t="s">
        <v>84</v>
      </c>
      <c r="I94" s="41"/>
      <c r="W94" s="42"/>
      <c r="X94" s="23"/>
      <c r="Y94" s="23"/>
      <c r="Z94" s="23"/>
      <c r="AA94" s="13"/>
      <c r="AB94" s="23"/>
      <c r="AC94" s="19"/>
      <c r="AD94" s="19"/>
      <c r="AE94" s="19"/>
      <c r="AF94" s="19"/>
    </row>
    <row r="95" ht="14.25" customHeight="1">
      <c r="A95" s="13"/>
      <c r="B95" s="13"/>
      <c r="C95" s="23"/>
      <c r="D95" s="23"/>
      <c r="E95" s="23"/>
      <c r="F95" s="23"/>
      <c r="G95" s="23"/>
      <c r="H95" s="23"/>
      <c r="I95" s="41"/>
      <c r="W95" s="42"/>
      <c r="X95" s="23"/>
      <c r="Y95" s="23"/>
      <c r="Z95" s="23"/>
      <c r="AA95" s="13"/>
      <c r="AB95" s="23"/>
      <c r="AC95" s="19"/>
      <c r="AD95" s="19"/>
      <c r="AE95" s="19"/>
      <c r="AF95" s="19"/>
    </row>
    <row r="96" ht="14.25" customHeight="1">
      <c r="A96" s="13"/>
      <c r="B96" s="13"/>
      <c r="C96" s="23"/>
      <c r="D96" s="23"/>
      <c r="E96" s="23"/>
      <c r="F96" s="23"/>
      <c r="G96" s="23"/>
      <c r="H96" s="23"/>
      <c r="I96" s="41"/>
      <c r="W96" s="42"/>
      <c r="X96" s="23"/>
      <c r="Y96" s="23"/>
      <c r="Z96" s="23"/>
      <c r="AA96" s="13"/>
      <c r="AB96" s="23"/>
      <c r="AC96" s="19"/>
      <c r="AD96" s="19"/>
      <c r="AE96" s="19"/>
      <c r="AF96" s="19"/>
    </row>
    <row r="97" ht="14.25" customHeight="1">
      <c r="A97" s="13"/>
      <c r="B97" s="13"/>
      <c r="C97" s="23"/>
      <c r="D97" s="23"/>
      <c r="E97" s="23"/>
      <c r="F97" s="23"/>
      <c r="G97" s="29"/>
      <c r="H97" s="29"/>
      <c r="I97" s="41"/>
      <c r="W97" s="42"/>
      <c r="X97" s="23"/>
      <c r="Y97" s="23"/>
      <c r="Z97" s="23"/>
      <c r="AA97" s="13"/>
      <c r="AB97" s="23"/>
      <c r="AC97" s="19"/>
      <c r="AD97" s="19"/>
      <c r="AE97" s="19"/>
      <c r="AF97" s="19"/>
    </row>
    <row r="98" ht="14.25" customHeight="1">
      <c r="A98" s="13"/>
      <c r="B98" s="13"/>
      <c r="C98" s="23"/>
      <c r="D98" s="23"/>
      <c r="E98" s="23"/>
      <c r="F98" s="23"/>
      <c r="G98" s="34">
        <v>4.3</v>
      </c>
      <c r="H98" s="35" t="s">
        <v>85</v>
      </c>
      <c r="I98" s="41"/>
      <c r="W98" s="42"/>
      <c r="X98" s="23"/>
      <c r="Y98" s="23"/>
      <c r="Z98" s="23"/>
      <c r="AA98" s="13"/>
      <c r="AB98" s="23"/>
      <c r="AC98" s="19"/>
      <c r="AD98" s="19"/>
      <c r="AE98" s="19"/>
      <c r="AF98" s="19"/>
    </row>
    <row r="99" ht="14.25" customHeight="1">
      <c r="A99" s="13"/>
      <c r="B99" s="13"/>
      <c r="C99" s="23"/>
      <c r="D99" s="23"/>
      <c r="E99" s="23"/>
      <c r="F99" s="23"/>
      <c r="G99" s="23"/>
      <c r="H99" s="68" t="s">
        <v>86</v>
      </c>
      <c r="I99" s="41"/>
      <c r="W99" s="42"/>
      <c r="X99" s="23"/>
      <c r="Y99" s="23"/>
      <c r="Z99" s="23"/>
      <c r="AA99" s="13"/>
      <c r="AB99" s="23"/>
      <c r="AC99" s="19"/>
      <c r="AD99" s="19"/>
      <c r="AE99" s="19"/>
      <c r="AF99" s="19"/>
    </row>
    <row r="100" ht="60.75" customHeight="1">
      <c r="A100" s="13"/>
      <c r="B100" s="13"/>
      <c r="C100" s="29"/>
      <c r="D100" s="29"/>
      <c r="E100" s="29"/>
      <c r="F100" s="29"/>
      <c r="G100" s="29"/>
      <c r="H100" s="29"/>
      <c r="I100" s="20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2"/>
      <c r="X100" s="29"/>
      <c r="Y100" s="29"/>
      <c r="Z100" s="29"/>
      <c r="AA100" s="13"/>
      <c r="AB100" s="29"/>
      <c r="AC100" s="19"/>
      <c r="AD100" s="19"/>
      <c r="AE100" s="19"/>
      <c r="AF100" s="19"/>
    </row>
    <row r="101" ht="14.25" customHeight="1">
      <c r="A101" s="13"/>
      <c r="B101" s="13"/>
      <c r="C101" s="51"/>
      <c r="D101" s="48" t="s">
        <v>30</v>
      </c>
      <c r="E101" s="49"/>
      <c r="F101" s="49"/>
      <c r="G101" s="49"/>
      <c r="H101" s="50"/>
      <c r="I101" s="51">
        <f t="shared" ref="I101:Z101" si="15">SUM(I93:I100)</f>
        <v>0</v>
      </c>
      <c r="J101" s="51">
        <f t="shared" si="15"/>
        <v>0</v>
      </c>
      <c r="K101" s="51">
        <f t="shared" si="15"/>
        <v>0</v>
      </c>
      <c r="L101" s="51">
        <f t="shared" si="15"/>
        <v>0</v>
      </c>
      <c r="M101" s="51">
        <f t="shared" si="15"/>
        <v>0</v>
      </c>
      <c r="N101" s="51">
        <f t="shared" si="15"/>
        <v>0</v>
      </c>
      <c r="O101" s="51">
        <f t="shared" si="15"/>
        <v>0</v>
      </c>
      <c r="P101" s="51">
        <f t="shared" si="15"/>
        <v>0</v>
      </c>
      <c r="Q101" s="51">
        <f t="shared" si="15"/>
        <v>0</v>
      </c>
      <c r="R101" s="51">
        <f t="shared" si="15"/>
        <v>0</v>
      </c>
      <c r="S101" s="51">
        <f t="shared" si="15"/>
        <v>0</v>
      </c>
      <c r="T101" s="51">
        <f t="shared" si="15"/>
        <v>0</v>
      </c>
      <c r="U101" s="51">
        <f t="shared" si="15"/>
        <v>0</v>
      </c>
      <c r="V101" s="51">
        <f t="shared" si="15"/>
        <v>0</v>
      </c>
      <c r="W101" s="51">
        <f t="shared" si="15"/>
        <v>0</v>
      </c>
      <c r="X101" s="51">
        <f t="shared" si="15"/>
        <v>0</v>
      </c>
      <c r="Y101" s="51">
        <f t="shared" si="15"/>
        <v>0</v>
      </c>
      <c r="Z101" s="51">
        <f t="shared" si="15"/>
        <v>1</v>
      </c>
      <c r="AA101" s="13"/>
      <c r="AB101" s="40">
        <f>SUM(AB93:AB100)</f>
        <v>1</v>
      </c>
      <c r="AC101" s="19"/>
      <c r="AD101" s="19"/>
      <c r="AE101" s="19"/>
      <c r="AF101" s="19"/>
    </row>
    <row r="102" ht="14.25" customHeight="1">
      <c r="A102" s="13"/>
      <c r="B102" s="13"/>
      <c r="C102" s="52"/>
      <c r="D102" s="13"/>
      <c r="E102" s="52"/>
      <c r="F102" s="13"/>
      <c r="G102" s="13"/>
      <c r="H102" s="52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3"/>
      <c r="AB102" s="13"/>
      <c r="AC102" s="19"/>
      <c r="AD102" s="19"/>
      <c r="AE102" s="19"/>
      <c r="AF102" s="19"/>
    </row>
    <row r="103" ht="14.25" customHeight="1">
      <c r="A103" s="5"/>
      <c r="B103" s="5"/>
      <c r="C103" s="6"/>
      <c r="D103" s="5"/>
      <c r="E103" s="6"/>
      <c r="F103" s="5"/>
      <c r="G103" s="5"/>
      <c r="H103" s="6"/>
      <c r="AA103" s="5"/>
      <c r="AB103" s="5"/>
    </row>
    <row r="104" ht="14.25" customHeight="1">
      <c r="C104" s="6"/>
      <c r="E104" s="1"/>
      <c r="H104" s="6"/>
    </row>
    <row r="105" ht="14.25" customHeight="1">
      <c r="C105" s="6"/>
      <c r="E105" s="1"/>
      <c r="H105" s="135"/>
    </row>
    <row r="106" ht="14.25" customHeight="1">
      <c r="C106" s="6"/>
      <c r="E106" s="1"/>
      <c r="H106" s="135"/>
    </row>
    <row r="107" ht="14.25" customHeight="1">
      <c r="C107" s="6"/>
      <c r="E107" s="1"/>
      <c r="H107" s="135"/>
    </row>
    <row r="108" ht="14.25" customHeight="1">
      <c r="C108" s="6"/>
      <c r="E108" s="1"/>
      <c r="H108" s="135"/>
    </row>
    <row r="109" ht="14.25" customHeight="1">
      <c r="C109" s="6"/>
      <c r="E109" s="1"/>
      <c r="H109" s="135"/>
    </row>
    <row r="110" ht="14.25" customHeight="1">
      <c r="C110" s="6"/>
      <c r="E110" s="1"/>
      <c r="H110" s="135"/>
    </row>
    <row r="111" ht="14.25" customHeight="1">
      <c r="C111" s="6"/>
      <c r="E111" s="1"/>
      <c r="H111" s="135"/>
    </row>
    <row r="112" ht="14.25" customHeight="1">
      <c r="C112" s="6"/>
      <c r="E112" s="1"/>
    </row>
    <row r="113" ht="14.25" customHeight="1">
      <c r="C113" s="6"/>
      <c r="E113" s="1"/>
      <c r="H113" s="6"/>
    </row>
    <row r="114" ht="14.25" customHeight="1">
      <c r="C114" s="6"/>
      <c r="E114" s="1"/>
      <c r="H114" s="6"/>
    </row>
    <row r="115" ht="14.25" customHeight="1">
      <c r="C115" s="6"/>
      <c r="E115" s="1"/>
      <c r="H115" s="6"/>
    </row>
    <row r="116" ht="14.25" customHeight="1">
      <c r="C116" s="6"/>
      <c r="E116" s="1"/>
      <c r="H116" s="6"/>
    </row>
    <row r="117" ht="14.25" customHeight="1">
      <c r="C117" s="6"/>
      <c r="E117" s="1"/>
      <c r="H117" s="6"/>
    </row>
    <row r="118" ht="14.25" customHeight="1">
      <c r="C118" s="6"/>
      <c r="E118" s="1"/>
      <c r="H118" s="6"/>
    </row>
    <row r="119" ht="14.25" customHeight="1">
      <c r="C119" s="6"/>
      <c r="E119" s="1"/>
      <c r="H119" s="6"/>
    </row>
    <row r="120" ht="14.25" customHeight="1">
      <c r="C120" s="6"/>
      <c r="E120" s="1"/>
      <c r="H120" s="6"/>
    </row>
    <row r="121" ht="14.25" customHeight="1">
      <c r="C121" s="6"/>
      <c r="E121" s="1"/>
      <c r="H121" s="6"/>
    </row>
    <row r="122" ht="14.25" customHeight="1">
      <c r="C122" s="6"/>
      <c r="E122" s="1"/>
      <c r="H122" s="6"/>
    </row>
    <row r="123" ht="14.25" customHeight="1">
      <c r="C123" s="6"/>
      <c r="E123" s="1"/>
      <c r="H123" s="6"/>
    </row>
    <row r="124" ht="14.25" customHeight="1">
      <c r="C124" s="6"/>
      <c r="E124" s="1"/>
      <c r="H124" s="6"/>
    </row>
    <row r="125" ht="14.25" customHeight="1">
      <c r="C125" s="6"/>
      <c r="E125" s="1"/>
      <c r="H125" s="6"/>
    </row>
    <row r="126" ht="14.25" customHeight="1">
      <c r="C126" s="6"/>
      <c r="E126" s="1"/>
      <c r="H126" s="6"/>
    </row>
    <row r="127" ht="14.25" customHeight="1">
      <c r="C127" s="6"/>
      <c r="E127" s="1"/>
      <c r="H127" s="6"/>
    </row>
    <row r="128" ht="14.25" customHeight="1">
      <c r="C128" s="6"/>
      <c r="E128" s="1"/>
      <c r="H128" s="6"/>
    </row>
    <row r="129" ht="14.25" customHeight="1">
      <c r="C129" s="6"/>
      <c r="E129" s="1"/>
      <c r="H129" s="6"/>
    </row>
    <row r="130" ht="14.25" customHeight="1">
      <c r="C130" s="6"/>
      <c r="E130" s="1"/>
      <c r="H130" s="6"/>
    </row>
    <row r="131" ht="14.25" customHeight="1">
      <c r="C131" s="6"/>
      <c r="E131" s="1"/>
      <c r="H131" s="6"/>
    </row>
    <row r="132" ht="14.25" customHeight="1">
      <c r="C132" s="6"/>
      <c r="E132" s="1"/>
      <c r="H132" s="6"/>
    </row>
    <row r="133" ht="14.25" customHeight="1">
      <c r="C133" s="6"/>
      <c r="E133" s="1"/>
      <c r="H133" s="6"/>
    </row>
    <row r="134" ht="14.25" customHeight="1">
      <c r="C134" s="6"/>
      <c r="E134" s="1"/>
      <c r="H134" s="6"/>
    </row>
    <row r="135" ht="14.25" customHeight="1">
      <c r="C135" s="6"/>
      <c r="E135" s="1"/>
      <c r="H135" s="6"/>
    </row>
    <row r="136" ht="14.25" customHeight="1">
      <c r="C136" s="6"/>
      <c r="E136" s="1"/>
      <c r="H136" s="6"/>
    </row>
    <row r="137" ht="14.25" customHeight="1">
      <c r="C137" s="6"/>
      <c r="E137" s="1"/>
      <c r="H137" s="6"/>
    </row>
    <row r="138" ht="14.25" customHeight="1">
      <c r="C138" s="6"/>
      <c r="E138" s="1"/>
      <c r="H138" s="6"/>
    </row>
    <row r="139" ht="14.25" customHeight="1">
      <c r="C139" s="6"/>
      <c r="E139" s="1"/>
      <c r="H139" s="6"/>
    </row>
    <row r="140" ht="14.25" customHeight="1">
      <c r="C140" s="6"/>
      <c r="E140" s="1"/>
      <c r="H140" s="6"/>
    </row>
    <row r="141" ht="14.25" customHeight="1">
      <c r="C141" s="6"/>
      <c r="E141" s="1"/>
      <c r="H141" s="6"/>
    </row>
    <row r="142" ht="14.25" customHeight="1">
      <c r="C142" s="6"/>
      <c r="E142" s="1"/>
      <c r="H142" s="6"/>
    </row>
    <row r="143" ht="14.25" customHeight="1">
      <c r="C143" s="6"/>
      <c r="E143" s="1"/>
      <c r="H143" s="6"/>
    </row>
    <row r="144" ht="14.25" customHeight="1">
      <c r="C144" s="6"/>
      <c r="E144" s="1"/>
      <c r="H144" s="6"/>
    </row>
    <row r="145" ht="14.25" customHeight="1">
      <c r="C145" s="6"/>
      <c r="E145" s="1"/>
      <c r="H145" s="6"/>
    </row>
    <row r="146" ht="14.25" customHeight="1">
      <c r="C146" s="6"/>
      <c r="E146" s="1"/>
      <c r="H146" s="6"/>
    </row>
    <row r="147" ht="14.25" customHeight="1">
      <c r="C147" s="6"/>
      <c r="E147" s="1"/>
      <c r="H147" s="6"/>
    </row>
    <row r="148" ht="14.25" customHeight="1">
      <c r="C148" s="6"/>
      <c r="E148" s="1"/>
      <c r="H148" s="6"/>
    </row>
    <row r="149" ht="14.25" customHeight="1">
      <c r="C149" s="6"/>
      <c r="E149" s="1"/>
      <c r="H149" s="6"/>
    </row>
    <row r="150" ht="14.25" customHeight="1">
      <c r="C150" s="6"/>
      <c r="E150" s="1"/>
      <c r="H150" s="6"/>
    </row>
    <row r="151" ht="14.25" customHeight="1">
      <c r="C151" s="6"/>
      <c r="E151" s="1"/>
      <c r="H151" s="6"/>
    </row>
    <row r="152" ht="14.25" customHeight="1">
      <c r="C152" s="6"/>
      <c r="E152" s="1"/>
      <c r="H152" s="6"/>
    </row>
    <row r="153" ht="14.25" customHeight="1">
      <c r="C153" s="6"/>
      <c r="E153" s="1"/>
      <c r="H153" s="6"/>
    </row>
    <row r="154" ht="14.25" customHeight="1">
      <c r="C154" s="6"/>
      <c r="E154" s="1"/>
      <c r="H154" s="6"/>
    </row>
    <row r="155" ht="14.25" customHeight="1">
      <c r="C155" s="6"/>
      <c r="E155" s="1"/>
      <c r="H155" s="6"/>
    </row>
    <row r="156" ht="14.25" customHeight="1">
      <c r="C156" s="6"/>
      <c r="E156" s="1"/>
      <c r="H156" s="6"/>
    </row>
    <row r="157" ht="14.25" customHeight="1">
      <c r="C157" s="6"/>
      <c r="E157" s="1"/>
      <c r="H157" s="6"/>
    </row>
    <row r="158" ht="14.25" customHeight="1">
      <c r="C158" s="6"/>
      <c r="E158" s="1"/>
      <c r="H158" s="6"/>
    </row>
    <row r="159" ht="14.25" customHeight="1">
      <c r="C159" s="6"/>
      <c r="E159" s="1"/>
      <c r="H159" s="6"/>
    </row>
    <row r="160" ht="14.25" customHeight="1">
      <c r="C160" s="6"/>
      <c r="E160" s="1"/>
      <c r="H160" s="6"/>
    </row>
    <row r="161" ht="14.25" customHeight="1">
      <c r="C161" s="6"/>
      <c r="E161" s="1"/>
      <c r="H161" s="6"/>
    </row>
    <row r="162" ht="14.25" customHeight="1">
      <c r="C162" s="6"/>
      <c r="E162" s="1"/>
      <c r="H162" s="6"/>
    </row>
    <row r="163" ht="14.25" customHeight="1">
      <c r="C163" s="6"/>
      <c r="E163" s="1"/>
      <c r="H163" s="6"/>
    </row>
    <row r="164" ht="14.25" customHeight="1">
      <c r="C164" s="6"/>
      <c r="E164" s="1"/>
      <c r="H164" s="6"/>
    </row>
    <row r="165" ht="14.25" customHeight="1">
      <c r="C165" s="6"/>
      <c r="E165" s="1"/>
      <c r="H165" s="6"/>
    </row>
    <row r="166" ht="14.25" customHeight="1">
      <c r="C166" s="6"/>
      <c r="E166" s="1"/>
      <c r="H166" s="6"/>
    </row>
    <row r="167" ht="14.25" customHeight="1">
      <c r="C167" s="6"/>
      <c r="E167" s="1"/>
      <c r="H167" s="6"/>
    </row>
    <row r="168" ht="14.25" customHeight="1">
      <c r="C168" s="6"/>
      <c r="E168" s="1"/>
      <c r="H168" s="6"/>
    </row>
    <row r="169" ht="14.25" customHeight="1">
      <c r="C169" s="6"/>
      <c r="E169" s="1"/>
      <c r="H169" s="6"/>
    </row>
    <row r="170" ht="14.25" customHeight="1">
      <c r="C170" s="6"/>
      <c r="E170" s="1"/>
      <c r="H170" s="6"/>
    </row>
    <row r="171" ht="14.25" customHeight="1">
      <c r="C171" s="6"/>
      <c r="E171" s="1"/>
      <c r="H171" s="6"/>
    </row>
    <row r="172" ht="14.25" customHeight="1">
      <c r="C172" s="6"/>
      <c r="E172" s="1"/>
      <c r="H172" s="6"/>
    </row>
    <row r="173" ht="14.25" customHeight="1">
      <c r="C173" s="6"/>
      <c r="E173" s="1"/>
      <c r="H173" s="6"/>
    </row>
    <row r="174" ht="14.25" customHeight="1">
      <c r="C174" s="6"/>
      <c r="E174" s="1"/>
      <c r="H174" s="6"/>
    </row>
    <row r="175" ht="14.25" customHeight="1">
      <c r="C175" s="6"/>
      <c r="E175" s="1"/>
      <c r="H175" s="6"/>
    </row>
    <row r="176" ht="14.25" customHeight="1">
      <c r="C176" s="6"/>
      <c r="E176" s="1"/>
      <c r="H176" s="6"/>
    </row>
    <row r="177" ht="14.25" customHeight="1">
      <c r="C177" s="6"/>
      <c r="E177" s="1"/>
      <c r="H177" s="6"/>
    </row>
    <row r="178" ht="14.25" customHeight="1">
      <c r="C178" s="6"/>
      <c r="E178" s="1"/>
      <c r="H178" s="6"/>
    </row>
    <row r="179" ht="14.25" customHeight="1">
      <c r="C179" s="6"/>
      <c r="E179" s="1"/>
      <c r="H179" s="6"/>
    </row>
    <row r="180" ht="14.25" customHeight="1">
      <c r="C180" s="6"/>
      <c r="E180" s="1"/>
      <c r="H180" s="6"/>
    </row>
    <row r="181" ht="14.25" customHeight="1">
      <c r="C181" s="6"/>
      <c r="E181" s="1"/>
      <c r="H181" s="6"/>
    </row>
    <row r="182" ht="14.25" customHeight="1">
      <c r="C182" s="6"/>
      <c r="E182" s="1"/>
      <c r="H182" s="6"/>
    </row>
    <row r="183" ht="14.25" customHeight="1">
      <c r="C183" s="6"/>
      <c r="E183" s="1"/>
      <c r="H183" s="6"/>
    </row>
    <row r="184" ht="14.25" customHeight="1">
      <c r="C184" s="6"/>
      <c r="E184" s="1"/>
      <c r="H184" s="6"/>
    </row>
    <row r="185" ht="14.25" customHeight="1">
      <c r="C185" s="6"/>
      <c r="E185" s="1"/>
      <c r="H185" s="6"/>
    </row>
    <row r="186" ht="14.25" customHeight="1">
      <c r="C186" s="6"/>
      <c r="E186" s="1"/>
      <c r="H186" s="6"/>
    </row>
    <row r="187" ht="14.25" customHeight="1">
      <c r="C187" s="6"/>
      <c r="E187" s="1"/>
      <c r="H187" s="6"/>
    </row>
    <row r="188" ht="14.25" customHeight="1">
      <c r="C188" s="6"/>
      <c r="E188" s="1"/>
      <c r="H188" s="6"/>
    </row>
    <row r="189" ht="14.25" customHeight="1">
      <c r="C189" s="6"/>
      <c r="E189" s="1"/>
      <c r="H189" s="6"/>
    </row>
    <row r="190" ht="14.25" customHeight="1">
      <c r="C190" s="6"/>
      <c r="E190" s="1"/>
      <c r="H190" s="6"/>
    </row>
    <row r="191" ht="14.25" customHeight="1">
      <c r="C191" s="6"/>
      <c r="E191" s="1"/>
      <c r="H191" s="6"/>
    </row>
    <row r="192" ht="14.25" customHeight="1">
      <c r="C192" s="6"/>
      <c r="E192" s="1"/>
      <c r="H192" s="6"/>
    </row>
    <row r="193" ht="14.25" customHeight="1">
      <c r="C193" s="6"/>
      <c r="E193" s="1"/>
      <c r="H193" s="6"/>
    </row>
    <row r="194" ht="14.25" customHeight="1">
      <c r="C194" s="6"/>
      <c r="E194" s="1"/>
      <c r="H194" s="6"/>
    </row>
    <row r="195" ht="14.25" customHeight="1">
      <c r="C195" s="6"/>
      <c r="E195" s="1"/>
      <c r="H195" s="6"/>
    </row>
    <row r="196" ht="14.25" customHeight="1">
      <c r="C196" s="6"/>
      <c r="E196" s="1"/>
      <c r="H196" s="6"/>
    </row>
    <row r="197" ht="14.25" customHeight="1">
      <c r="C197" s="6"/>
      <c r="E197" s="1"/>
      <c r="H197" s="6"/>
    </row>
    <row r="198" ht="14.25" customHeight="1">
      <c r="C198" s="6"/>
      <c r="E198" s="1"/>
      <c r="H198" s="6"/>
    </row>
    <row r="199" ht="14.25" customHeight="1">
      <c r="C199" s="6"/>
      <c r="E199" s="1"/>
      <c r="H199" s="6"/>
    </row>
    <row r="200" ht="14.25" customHeight="1">
      <c r="C200" s="6"/>
      <c r="E200" s="1"/>
      <c r="H200" s="6"/>
    </row>
    <row r="201" ht="14.25" customHeight="1">
      <c r="C201" s="6"/>
      <c r="E201" s="1"/>
      <c r="H201" s="6"/>
    </row>
    <row r="202" ht="14.25" customHeight="1">
      <c r="C202" s="6"/>
      <c r="E202" s="1"/>
      <c r="H202" s="6"/>
    </row>
    <row r="203" ht="14.25" customHeight="1">
      <c r="C203" s="6"/>
      <c r="E203" s="1"/>
      <c r="H203" s="6"/>
    </row>
    <row r="204" ht="14.25" customHeight="1">
      <c r="C204" s="6"/>
      <c r="E204" s="1"/>
      <c r="H204" s="6"/>
    </row>
    <row r="205" ht="14.25" customHeight="1">
      <c r="C205" s="6"/>
      <c r="E205" s="1"/>
      <c r="H205" s="6"/>
    </row>
    <row r="206" ht="14.25" customHeight="1">
      <c r="C206" s="6"/>
      <c r="E206" s="1"/>
      <c r="H206" s="6"/>
    </row>
    <row r="207" ht="14.25" customHeight="1">
      <c r="C207" s="6"/>
      <c r="E207" s="1"/>
      <c r="H207" s="6"/>
    </row>
    <row r="208" ht="14.25" customHeight="1">
      <c r="C208" s="6"/>
      <c r="E208" s="1"/>
      <c r="H208" s="6"/>
    </row>
    <row r="209" ht="14.25" customHeight="1">
      <c r="C209" s="6"/>
      <c r="E209" s="1"/>
      <c r="H209" s="6"/>
    </row>
    <row r="210" ht="14.25" customHeight="1">
      <c r="C210" s="6"/>
      <c r="E210" s="1"/>
      <c r="H210" s="6"/>
    </row>
    <row r="211" ht="14.25" customHeight="1">
      <c r="C211" s="6"/>
      <c r="E211" s="1"/>
      <c r="H211" s="6"/>
    </row>
    <row r="212" ht="14.25" customHeight="1">
      <c r="C212" s="6"/>
      <c r="E212" s="1"/>
      <c r="H212" s="6"/>
    </row>
    <row r="213" ht="14.25" customHeight="1">
      <c r="C213" s="6"/>
      <c r="E213" s="1"/>
      <c r="H213" s="6"/>
    </row>
    <row r="214" ht="14.25" customHeight="1">
      <c r="C214" s="6"/>
      <c r="E214" s="1"/>
      <c r="H214" s="6"/>
    </row>
    <row r="215" ht="14.25" customHeight="1">
      <c r="C215" s="6"/>
      <c r="E215" s="1"/>
      <c r="H215" s="6"/>
    </row>
    <row r="216" ht="14.25" customHeight="1">
      <c r="C216" s="6"/>
      <c r="E216" s="1"/>
      <c r="H216" s="6"/>
    </row>
    <row r="217" ht="14.25" customHeight="1">
      <c r="C217" s="6"/>
      <c r="E217" s="1"/>
      <c r="H217" s="6"/>
    </row>
    <row r="218" ht="14.25" customHeight="1">
      <c r="C218" s="6"/>
      <c r="E218" s="1"/>
      <c r="H218" s="6"/>
    </row>
    <row r="219" ht="14.25" customHeight="1">
      <c r="C219" s="6"/>
      <c r="E219" s="1"/>
      <c r="H219" s="6"/>
    </row>
    <row r="220" ht="14.25" customHeight="1">
      <c r="C220" s="6"/>
      <c r="E220" s="1"/>
      <c r="H220" s="6"/>
    </row>
    <row r="221" ht="14.25" customHeight="1">
      <c r="C221" s="6"/>
      <c r="E221" s="1"/>
      <c r="H221" s="6"/>
    </row>
    <row r="222" ht="14.25" customHeight="1">
      <c r="C222" s="6"/>
      <c r="E222" s="1"/>
      <c r="H222" s="6"/>
    </row>
    <row r="223" ht="14.25" customHeight="1">
      <c r="C223" s="6"/>
      <c r="E223" s="1"/>
      <c r="H223" s="6"/>
    </row>
    <row r="224" ht="14.25" customHeight="1">
      <c r="C224" s="6"/>
      <c r="E224" s="1"/>
      <c r="H224" s="6"/>
    </row>
    <row r="225" ht="14.25" customHeight="1">
      <c r="C225" s="6"/>
      <c r="E225" s="1"/>
      <c r="H225" s="6"/>
    </row>
    <row r="226" ht="14.25" customHeight="1">
      <c r="C226" s="6"/>
      <c r="E226" s="1"/>
      <c r="H226" s="6"/>
    </row>
    <row r="227" ht="14.25" customHeight="1">
      <c r="C227" s="6"/>
      <c r="E227" s="1"/>
      <c r="H227" s="6"/>
    </row>
    <row r="228" ht="14.25" customHeight="1">
      <c r="C228" s="6"/>
      <c r="E228" s="1"/>
      <c r="H228" s="6"/>
    </row>
    <row r="229" ht="14.25" customHeight="1">
      <c r="C229" s="6"/>
      <c r="E229" s="1"/>
      <c r="H229" s="6"/>
    </row>
    <row r="230" ht="14.25" customHeight="1">
      <c r="C230" s="6"/>
      <c r="E230" s="1"/>
      <c r="H230" s="6"/>
    </row>
    <row r="231" ht="14.25" customHeight="1">
      <c r="C231" s="6"/>
      <c r="E231" s="1"/>
      <c r="H231" s="6"/>
    </row>
    <row r="232" ht="14.25" customHeight="1">
      <c r="C232" s="6"/>
      <c r="E232" s="1"/>
      <c r="H232" s="6"/>
    </row>
    <row r="233" ht="14.25" customHeight="1">
      <c r="C233" s="6"/>
      <c r="E233" s="1"/>
      <c r="H233" s="6"/>
    </row>
    <row r="234" ht="14.25" customHeight="1">
      <c r="C234" s="6"/>
      <c r="E234" s="1"/>
      <c r="H234" s="6"/>
    </row>
    <row r="235" ht="14.25" customHeight="1">
      <c r="C235" s="6"/>
      <c r="E235" s="1"/>
      <c r="H235" s="6"/>
    </row>
    <row r="236" ht="14.25" customHeight="1">
      <c r="C236" s="6"/>
      <c r="E236" s="1"/>
      <c r="H236" s="6"/>
    </row>
    <row r="237" ht="14.25" customHeight="1">
      <c r="C237" s="6"/>
      <c r="E237" s="1"/>
      <c r="H237" s="6"/>
    </row>
    <row r="238" ht="14.25" customHeight="1">
      <c r="C238" s="6"/>
      <c r="E238" s="1"/>
      <c r="H238" s="6"/>
    </row>
    <row r="239" ht="14.25" customHeight="1">
      <c r="C239" s="6"/>
      <c r="E239" s="1"/>
      <c r="H239" s="6"/>
    </row>
    <row r="240" ht="14.25" customHeight="1">
      <c r="C240" s="6"/>
      <c r="E240" s="1"/>
      <c r="H240" s="6"/>
    </row>
    <row r="241" ht="14.25" customHeight="1">
      <c r="C241" s="6"/>
      <c r="E241" s="1"/>
      <c r="H241" s="6"/>
    </row>
    <row r="242" ht="14.25" customHeight="1">
      <c r="C242" s="6"/>
      <c r="E242" s="1"/>
      <c r="H242" s="6"/>
    </row>
    <row r="243" ht="14.25" customHeight="1">
      <c r="C243" s="6"/>
      <c r="E243" s="1"/>
      <c r="H243" s="6"/>
    </row>
    <row r="244" ht="14.25" customHeight="1">
      <c r="C244" s="6"/>
      <c r="E244" s="1"/>
      <c r="H244" s="6"/>
    </row>
    <row r="245" ht="14.25" customHeight="1">
      <c r="C245" s="6"/>
      <c r="E245" s="1"/>
      <c r="H245" s="6"/>
    </row>
    <row r="246" ht="14.25" customHeight="1">
      <c r="C246" s="6"/>
      <c r="E246" s="1"/>
      <c r="H246" s="6"/>
    </row>
    <row r="247" ht="14.25" customHeight="1">
      <c r="C247" s="6"/>
      <c r="E247" s="1"/>
      <c r="H247" s="6"/>
    </row>
    <row r="248" ht="14.25" customHeight="1">
      <c r="C248" s="6"/>
      <c r="E248" s="1"/>
      <c r="H248" s="6"/>
    </row>
    <row r="249" ht="14.25" customHeight="1">
      <c r="C249" s="6"/>
      <c r="E249" s="1"/>
      <c r="H249" s="6"/>
    </row>
    <row r="250" ht="14.25" customHeight="1">
      <c r="C250" s="6"/>
      <c r="E250" s="1"/>
      <c r="H250" s="6"/>
    </row>
    <row r="251" ht="14.25" customHeight="1">
      <c r="C251" s="6"/>
      <c r="E251" s="1"/>
      <c r="H251" s="6"/>
    </row>
    <row r="252" ht="14.25" customHeight="1">
      <c r="C252" s="6"/>
      <c r="E252" s="1"/>
      <c r="H252" s="6"/>
    </row>
    <row r="253" ht="14.25" customHeight="1">
      <c r="C253" s="6"/>
      <c r="E253" s="1"/>
      <c r="H253" s="6"/>
    </row>
    <row r="254" ht="14.25" customHeight="1">
      <c r="C254" s="6"/>
      <c r="E254" s="1"/>
      <c r="H254" s="6"/>
    </row>
    <row r="255" ht="14.25" customHeight="1">
      <c r="C255" s="6"/>
      <c r="E255" s="1"/>
      <c r="H255" s="6"/>
    </row>
    <row r="256" ht="14.25" customHeight="1">
      <c r="C256" s="6"/>
      <c r="E256" s="1"/>
      <c r="H256" s="6"/>
    </row>
    <row r="257" ht="14.25" customHeight="1">
      <c r="C257" s="6"/>
      <c r="E257" s="1"/>
      <c r="H257" s="6"/>
    </row>
    <row r="258" ht="14.25" customHeight="1">
      <c r="C258" s="6"/>
      <c r="E258" s="1"/>
      <c r="H258" s="6"/>
    </row>
    <row r="259" ht="14.25" customHeight="1">
      <c r="C259" s="6"/>
      <c r="E259" s="1"/>
      <c r="H259" s="6"/>
    </row>
    <row r="260" ht="14.25" customHeight="1">
      <c r="C260" s="6"/>
      <c r="E260" s="1"/>
      <c r="H260" s="6"/>
    </row>
    <row r="261" ht="14.25" customHeight="1">
      <c r="C261" s="6"/>
      <c r="E261" s="1"/>
      <c r="H261" s="6"/>
    </row>
    <row r="262" ht="14.25" customHeight="1">
      <c r="C262" s="6"/>
      <c r="E262" s="1"/>
      <c r="H262" s="6"/>
    </row>
    <row r="263" ht="14.25" customHeight="1">
      <c r="C263" s="6"/>
      <c r="E263" s="1"/>
      <c r="H263" s="6"/>
    </row>
    <row r="264" ht="14.25" customHeight="1">
      <c r="C264" s="6"/>
      <c r="E264" s="1"/>
      <c r="H264" s="6"/>
    </row>
    <row r="265" ht="14.25" customHeight="1">
      <c r="C265" s="6"/>
      <c r="E265" s="1"/>
      <c r="H265" s="6"/>
    </row>
    <row r="266" ht="14.25" customHeight="1">
      <c r="C266" s="6"/>
      <c r="E266" s="1"/>
      <c r="H266" s="6"/>
    </row>
    <row r="267" ht="14.25" customHeight="1">
      <c r="C267" s="6"/>
      <c r="E267" s="1"/>
      <c r="H267" s="6"/>
    </row>
    <row r="268" ht="14.25" customHeight="1">
      <c r="C268" s="6"/>
      <c r="E268" s="1"/>
      <c r="H268" s="6"/>
    </row>
    <row r="269" ht="14.25" customHeight="1">
      <c r="C269" s="6"/>
      <c r="E269" s="1"/>
      <c r="H269" s="6"/>
    </row>
    <row r="270" ht="14.25" customHeight="1">
      <c r="C270" s="6"/>
      <c r="E270" s="1"/>
      <c r="H270" s="6"/>
    </row>
    <row r="271" ht="14.25" customHeight="1">
      <c r="C271" s="6"/>
      <c r="E271" s="1"/>
      <c r="H271" s="6"/>
    </row>
    <row r="272" ht="14.25" customHeight="1">
      <c r="C272" s="6"/>
      <c r="E272" s="1"/>
      <c r="H272" s="6"/>
    </row>
    <row r="273" ht="14.25" customHeight="1">
      <c r="C273" s="6"/>
      <c r="E273" s="1"/>
      <c r="H273" s="6"/>
    </row>
    <row r="274" ht="14.25" customHeight="1">
      <c r="C274" s="6"/>
      <c r="E274" s="1"/>
      <c r="H274" s="6"/>
    </row>
    <row r="275" ht="14.25" customHeight="1">
      <c r="C275" s="6"/>
      <c r="E275" s="1"/>
      <c r="H275" s="6"/>
    </row>
    <row r="276" ht="14.25" customHeight="1">
      <c r="C276" s="6"/>
      <c r="E276" s="1"/>
      <c r="H276" s="6"/>
    </row>
    <row r="277" ht="14.25" customHeight="1">
      <c r="C277" s="6"/>
      <c r="E277" s="1"/>
      <c r="H277" s="6"/>
    </row>
    <row r="278" ht="14.25" customHeight="1">
      <c r="C278" s="6"/>
      <c r="E278" s="1"/>
      <c r="H278" s="6"/>
    </row>
    <row r="279" ht="14.25" customHeight="1">
      <c r="C279" s="6"/>
      <c r="E279" s="1"/>
      <c r="H279" s="6"/>
    </row>
    <row r="280" ht="14.25" customHeight="1">
      <c r="C280" s="6"/>
      <c r="E280" s="1"/>
      <c r="H280" s="6"/>
    </row>
    <row r="281" ht="14.25" customHeight="1">
      <c r="C281" s="6"/>
      <c r="E281" s="1"/>
      <c r="H281" s="6"/>
    </row>
    <row r="282" ht="14.25" customHeight="1">
      <c r="C282" s="6"/>
      <c r="E282" s="1"/>
      <c r="H282" s="6"/>
    </row>
    <row r="283" ht="14.25" customHeight="1">
      <c r="C283" s="6"/>
      <c r="E283" s="1"/>
      <c r="H283" s="6"/>
    </row>
    <row r="284" ht="14.25" customHeight="1">
      <c r="C284" s="6"/>
      <c r="E284" s="1"/>
      <c r="H284" s="6"/>
    </row>
    <row r="285" ht="14.25" customHeight="1">
      <c r="C285" s="6"/>
      <c r="E285" s="1"/>
      <c r="H285" s="6"/>
    </row>
    <row r="286" ht="14.25" customHeight="1">
      <c r="C286" s="6"/>
      <c r="E286" s="1"/>
      <c r="H286" s="6"/>
    </row>
    <row r="287" ht="14.25" customHeight="1">
      <c r="C287" s="6"/>
      <c r="E287" s="1"/>
      <c r="H287" s="6"/>
    </row>
    <row r="288" ht="14.25" customHeight="1">
      <c r="C288" s="6"/>
      <c r="E288" s="1"/>
      <c r="H288" s="6"/>
    </row>
    <row r="289" ht="14.25" customHeight="1">
      <c r="C289" s="6"/>
      <c r="E289" s="1"/>
      <c r="H289" s="6"/>
    </row>
    <row r="290" ht="14.25" customHeight="1">
      <c r="C290" s="6"/>
      <c r="E290" s="1"/>
      <c r="H290" s="6"/>
    </row>
    <row r="291" ht="14.25" customHeight="1">
      <c r="C291" s="6"/>
      <c r="E291" s="1"/>
      <c r="H291" s="6"/>
    </row>
    <row r="292" ht="14.25" customHeight="1">
      <c r="C292" s="6"/>
      <c r="E292" s="1"/>
      <c r="H292" s="6"/>
    </row>
    <row r="293" ht="14.25" customHeight="1">
      <c r="C293" s="6"/>
      <c r="E293" s="1"/>
      <c r="H293" s="6"/>
    </row>
    <row r="294" ht="14.25" customHeight="1">
      <c r="C294" s="6"/>
      <c r="E294" s="1"/>
      <c r="H294" s="6"/>
    </row>
    <row r="295" ht="14.25" customHeight="1">
      <c r="C295" s="6"/>
      <c r="E295" s="1"/>
      <c r="H295" s="6"/>
    </row>
    <row r="296" ht="14.25" customHeight="1">
      <c r="C296" s="6"/>
      <c r="E296" s="1"/>
      <c r="H296" s="6"/>
    </row>
    <row r="297" ht="14.25" customHeight="1">
      <c r="C297" s="6"/>
      <c r="E297" s="1"/>
      <c r="H297" s="6"/>
    </row>
    <row r="298" ht="14.25" customHeight="1">
      <c r="C298" s="6"/>
      <c r="E298" s="1"/>
      <c r="H298" s="6"/>
    </row>
    <row r="299" ht="14.25" customHeight="1">
      <c r="C299" s="6"/>
      <c r="E299" s="1"/>
      <c r="H299" s="6"/>
    </row>
    <row r="300" ht="14.25" customHeight="1">
      <c r="C300" s="6"/>
      <c r="E300" s="1"/>
      <c r="H300" s="6"/>
    </row>
    <row r="301" ht="14.25" customHeight="1">
      <c r="C301" s="6"/>
      <c r="E301" s="1"/>
      <c r="H301" s="6"/>
    </row>
    <row r="302" ht="14.25" customHeight="1">
      <c r="C302" s="6"/>
      <c r="E302" s="1"/>
      <c r="H302" s="6"/>
    </row>
    <row r="303" ht="14.25" customHeight="1">
      <c r="C303" s="6"/>
      <c r="E303" s="1"/>
      <c r="H303" s="6"/>
    </row>
    <row r="304" ht="14.25" customHeight="1">
      <c r="C304" s="6"/>
      <c r="E304" s="1"/>
      <c r="H304" s="6"/>
    </row>
    <row r="305" ht="14.25" customHeight="1">
      <c r="C305" s="6"/>
      <c r="E305" s="1"/>
      <c r="H305" s="6"/>
    </row>
    <row r="306" ht="14.25" customHeight="1">
      <c r="C306" s="6"/>
      <c r="E306" s="1"/>
      <c r="H306" s="6"/>
    </row>
    <row r="307" ht="14.25" customHeight="1">
      <c r="C307" s="6"/>
      <c r="E307" s="1"/>
      <c r="H307" s="6"/>
    </row>
    <row r="308" ht="14.25" customHeight="1">
      <c r="C308" s="6"/>
      <c r="E308" s="1"/>
      <c r="H308" s="6"/>
    </row>
    <row r="309" ht="14.25" customHeight="1">
      <c r="C309" s="6"/>
      <c r="E309" s="1"/>
      <c r="H309" s="6"/>
    </row>
    <row r="310" ht="14.25" customHeight="1">
      <c r="C310" s="6"/>
      <c r="E310" s="1"/>
      <c r="H310" s="6"/>
    </row>
    <row r="311" ht="14.25" customHeight="1">
      <c r="C311" s="6"/>
      <c r="E311" s="1"/>
      <c r="H311" s="6"/>
    </row>
    <row r="312" ht="14.25" customHeight="1">
      <c r="C312" s="6"/>
      <c r="E312" s="1"/>
      <c r="H312" s="6"/>
    </row>
    <row r="313" ht="14.25" customHeight="1">
      <c r="C313" s="6"/>
      <c r="E313" s="1"/>
      <c r="H313" s="6"/>
    </row>
    <row r="314" ht="14.25" customHeight="1">
      <c r="C314" s="6"/>
      <c r="E314" s="1"/>
      <c r="H314" s="6"/>
    </row>
    <row r="315" ht="14.25" customHeight="1">
      <c r="C315" s="6"/>
      <c r="E315" s="1"/>
      <c r="H315" s="6"/>
    </row>
    <row r="316" ht="14.25" customHeight="1">
      <c r="C316" s="6"/>
      <c r="E316" s="1"/>
      <c r="H316" s="6"/>
    </row>
    <row r="317" ht="14.25" customHeight="1">
      <c r="C317" s="6"/>
      <c r="E317" s="1"/>
      <c r="H317" s="6"/>
    </row>
    <row r="318" ht="14.25" customHeight="1">
      <c r="C318" s="6"/>
      <c r="E318" s="1"/>
      <c r="H318" s="6"/>
    </row>
    <row r="319" ht="14.25" customHeight="1">
      <c r="C319" s="6"/>
      <c r="E319" s="1"/>
      <c r="H319" s="6"/>
    </row>
    <row r="320" ht="14.25" customHeight="1">
      <c r="C320" s="6"/>
      <c r="E320" s="1"/>
      <c r="H320" s="6"/>
    </row>
    <row r="321" ht="14.25" customHeight="1">
      <c r="C321" s="6"/>
      <c r="E321" s="1"/>
      <c r="H321" s="6"/>
    </row>
    <row r="322" ht="14.25" customHeight="1">
      <c r="C322" s="6"/>
      <c r="E322" s="1"/>
      <c r="H322" s="6"/>
    </row>
    <row r="323" ht="14.25" customHeight="1">
      <c r="C323" s="6"/>
      <c r="E323" s="1"/>
      <c r="H323" s="6"/>
    </row>
    <row r="324" ht="14.25" customHeight="1">
      <c r="C324" s="6"/>
      <c r="E324" s="1"/>
      <c r="H324" s="6"/>
    </row>
    <row r="325" ht="14.25" customHeight="1">
      <c r="C325" s="6"/>
      <c r="E325" s="1"/>
      <c r="H325" s="6"/>
    </row>
    <row r="326" ht="14.25" customHeight="1">
      <c r="C326" s="6"/>
      <c r="E326" s="1"/>
      <c r="H326" s="6"/>
    </row>
    <row r="327" ht="14.25" customHeight="1">
      <c r="C327" s="6"/>
      <c r="E327" s="1"/>
      <c r="H327" s="6"/>
    </row>
    <row r="328" ht="14.25" customHeight="1">
      <c r="C328" s="6"/>
      <c r="E328" s="1"/>
      <c r="H328" s="6"/>
    </row>
    <row r="329" ht="14.25" customHeight="1">
      <c r="C329" s="6"/>
      <c r="E329" s="1"/>
      <c r="H329" s="6"/>
    </row>
    <row r="330" ht="14.25" customHeight="1">
      <c r="C330" s="6"/>
      <c r="E330" s="1"/>
      <c r="H330" s="6"/>
    </row>
    <row r="331" ht="14.25" customHeight="1">
      <c r="C331" s="6"/>
      <c r="E331" s="1"/>
      <c r="H331" s="6"/>
    </row>
    <row r="332" ht="14.25" customHeight="1">
      <c r="C332" s="6"/>
      <c r="E332" s="1"/>
      <c r="H332" s="6"/>
    </row>
    <row r="333" ht="14.25" customHeight="1">
      <c r="C333" s="6"/>
      <c r="E333" s="1"/>
      <c r="H333" s="6"/>
    </row>
    <row r="334" ht="14.25" customHeight="1">
      <c r="C334" s="6"/>
      <c r="E334" s="1"/>
      <c r="H334" s="6"/>
    </row>
    <row r="335" ht="14.25" customHeight="1">
      <c r="C335" s="6"/>
      <c r="E335" s="1"/>
      <c r="H335" s="6"/>
    </row>
    <row r="336" ht="14.25" customHeight="1">
      <c r="C336" s="6"/>
      <c r="E336" s="1"/>
      <c r="H336" s="6"/>
    </row>
    <row r="337" ht="14.25" customHeight="1">
      <c r="C337" s="6"/>
      <c r="E337" s="1"/>
      <c r="H337" s="6"/>
    </row>
    <row r="338" ht="14.25" customHeight="1">
      <c r="C338" s="6"/>
      <c r="E338" s="1"/>
      <c r="H338" s="6"/>
    </row>
    <row r="339" ht="14.25" customHeight="1">
      <c r="C339" s="6"/>
      <c r="E339" s="1"/>
      <c r="H339" s="6"/>
    </row>
    <row r="340" ht="14.25" customHeight="1">
      <c r="C340" s="6"/>
      <c r="E340" s="1"/>
      <c r="H340" s="6"/>
    </row>
    <row r="341" ht="14.25" customHeight="1">
      <c r="C341" s="6"/>
      <c r="E341" s="1"/>
      <c r="H341" s="6"/>
    </row>
    <row r="342" ht="14.25" customHeight="1">
      <c r="C342" s="6"/>
      <c r="E342" s="1"/>
      <c r="H342" s="6"/>
    </row>
    <row r="343" ht="14.25" customHeight="1">
      <c r="C343" s="6"/>
      <c r="E343" s="1"/>
      <c r="H343" s="6"/>
    </row>
    <row r="344" ht="14.25" customHeight="1">
      <c r="C344" s="6"/>
      <c r="E344" s="1"/>
      <c r="H344" s="6"/>
    </row>
    <row r="345" ht="14.25" customHeight="1">
      <c r="C345" s="6"/>
      <c r="E345" s="1"/>
      <c r="H345" s="6"/>
    </row>
    <row r="346" ht="14.25" customHeight="1">
      <c r="C346" s="6"/>
      <c r="E346" s="1"/>
      <c r="H346" s="6"/>
    </row>
    <row r="347" ht="14.25" customHeight="1">
      <c r="C347" s="6"/>
      <c r="E347" s="1"/>
      <c r="H347" s="6"/>
    </row>
    <row r="348" ht="14.25" customHeight="1">
      <c r="C348" s="6"/>
      <c r="E348" s="1"/>
      <c r="H348" s="6"/>
    </row>
    <row r="349" ht="14.25" customHeight="1">
      <c r="C349" s="6"/>
      <c r="E349" s="1"/>
      <c r="H349" s="6"/>
    </row>
    <row r="350" ht="14.25" customHeight="1">
      <c r="C350" s="6"/>
      <c r="E350" s="1"/>
      <c r="H350" s="6"/>
    </row>
    <row r="351" ht="14.25" customHeight="1">
      <c r="C351" s="6"/>
      <c r="E351" s="1"/>
      <c r="H351" s="6"/>
    </row>
    <row r="352" ht="14.25" customHeight="1">
      <c r="C352" s="6"/>
      <c r="E352" s="1"/>
      <c r="H352" s="6"/>
    </row>
    <row r="353" ht="14.25" customHeight="1">
      <c r="C353" s="6"/>
      <c r="E353" s="1"/>
      <c r="H353" s="6"/>
    </row>
    <row r="354" ht="14.25" customHeight="1">
      <c r="C354" s="6"/>
      <c r="E354" s="1"/>
      <c r="H354" s="6"/>
    </row>
    <row r="355" ht="14.25" customHeight="1">
      <c r="C355" s="6"/>
      <c r="E355" s="1"/>
      <c r="H355" s="6"/>
    </row>
    <row r="356" ht="14.25" customHeight="1">
      <c r="C356" s="6"/>
      <c r="E356" s="1"/>
      <c r="H356" s="6"/>
    </row>
    <row r="357" ht="14.25" customHeight="1">
      <c r="C357" s="6"/>
      <c r="E357" s="1"/>
      <c r="H357" s="6"/>
    </row>
    <row r="358" ht="14.25" customHeight="1">
      <c r="C358" s="6"/>
      <c r="E358" s="1"/>
      <c r="H358" s="6"/>
    </row>
    <row r="359" ht="14.25" customHeight="1">
      <c r="C359" s="6"/>
      <c r="E359" s="1"/>
      <c r="H359" s="6"/>
    </row>
    <row r="360" ht="14.25" customHeight="1">
      <c r="C360" s="6"/>
      <c r="E360" s="1"/>
      <c r="H360" s="6"/>
    </row>
    <row r="361" ht="14.25" customHeight="1">
      <c r="C361" s="6"/>
      <c r="E361" s="1"/>
      <c r="H361" s="6"/>
    </row>
    <row r="362" ht="14.25" customHeight="1">
      <c r="C362" s="6"/>
      <c r="E362" s="1"/>
      <c r="H362" s="6"/>
    </row>
    <row r="363" ht="14.25" customHeight="1">
      <c r="C363" s="6"/>
      <c r="E363" s="1"/>
      <c r="H363" s="6"/>
    </row>
    <row r="364" ht="14.25" customHeight="1">
      <c r="C364" s="6"/>
      <c r="E364" s="1"/>
      <c r="H364" s="6"/>
    </row>
    <row r="365" ht="14.25" customHeight="1">
      <c r="C365" s="6"/>
      <c r="E365" s="1"/>
      <c r="H365" s="6"/>
    </row>
    <row r="366" ht="14.25" customHeight="1">
      <c r="C366" s="6"/>
      <c r="E366" s="1"/>
      <c r="H366" s="6"/>
    </row>
    <row r="367" ht="14.25" customHeight="1">
      <c r="C367" s="6"/>
      <c r="E367" s="1"/>
      <c r="H367" s="6"/>
    </row>
    <row r="368" ht="14.25" customHeight="1">
      <c r="C368" s="6"/>
      <c r="E368" s="1"/>
      <c r="H368" s="6"/>
    </row>
    <row r="369" ht="14.25" customHeight="1">
      <c r="C369" s="6"/>
      <c r="E369" s="1"/>
      <c r="H369" s="6"/>
    </row>
    <row r="370" ht="14.25" customHeight="1">
      <c r="C370" s="6"/>
      <c r="E370" s="1"/>
      <c r="H370" s="6"/>
    </row>
    <row r="371" ht="14.25" customHeight="1">
      <c r="C371" s="6"/>
      <c r="E371" s="1"/>
      <c r="H371" s="6"/>
    </row>
    <row r="372" ht="14.25" customHeight="1">
      <c r="C372" s="6"/>
      <c r="E372" s="1"/>
      <c r="H372" s="6"/>
    </row>
    <row r="373" ht="14.25" customHeight="1">
      <c r="C373" s="6"/>
      <c r="E373" s="1"/>
      <c r="H373" s="6"/>
    </row>
    <row r="374" ht="14.25" customHeight="1">
      <c r="C374" s="6"/>
      <c r="E374" s="1"/>
      <c r="H374" s="6"/>
    </row>
    <row r="375" ht="14.25" customHeight="1">
      <c r="C375" s="6"/>
      <c r="E375" s="1"/>
      <c r="H375" s="6"/>
    </row>
    <row r="376" ht="14.25" customHeight="1">
      <c r="C376" s="6"/>
      <c r="E376" s="1"/>
      <c r="H376" s="6"/>
    </row>
    <row r="377" ht="14.25" customHeight="1">
      <c r="C377" s="6"/>
      <c r="E377" s="1"/>
      <c r="H377" s="6"/>
    </row>
    <row r="378" ht="14.25" customHeight="1">
      <c r="C378" s="6"/>
      <c r="E378" s="1"/>
      <c r="H378" s="6"/>
    </row>
    <row r="379" ht="14.25" customHeight="1">
      <c r="C379" s="6"/>
      <c r="E379" s="1"/>
      <c r="H379" s="6"/>
    </row>
    <row r="380" ht="14.25" customHeight="1">
      <c r="C380" s="6"/>
      <c r="E380" s="1"/>
      <c r="H380" s="6"/>
    </row>
    <row r="381" ht="14.25" customHeight="1">
      <c r="C381" s="6"/>
      <c r="E381" s="1"/>
      <c r="H381" s="6"/>
    </row>
    <row r="382" ht="14.25" customHeight="1">
      <c r="C382" s="6"/>
      <c r="E382" s="1"/>
      <c r="H382" s="6"/>
    </row>
    <row r="383" ht="14.25" customHeight="1">
      <c r="C383" s="6"/>
      <c r="E383" s="1"/>
      <c r="H383" s="6"/>
    </row>
    <row r="384" ht="14.25" customHeight="1">
      <c r="C384" s="6"/>
      <c r="E384" s="1"/>
      <c r="H384" s="6"/>
    </row>
    <row r="385" ht="14.25" customHeight="1">
      <c r="C385" s="6"/>
      <c r="E385" s="1"/>
      <c r="H385" s="6"/>
    </row>
    <row r="386" ht="14.25" customHeight="1">
      <c r="C386" s="6"/>
      <c r="E386" s="1"/>
      <c r="H386" s="6"/>
    </row>
    <row r="387" ht="14.25" customHeight="1">
      <c r="C387" s="6"/>
      <c r="E387" s="1"/>
      <c r="H387" s="6"/>
    </row>
    <row r="388" ht="14.25" customHeight="1">
      <c r="C388" s="6"/>
      <c r="E388" s="1"/>
      <c r="H388" s="6"/>
    </row>
    <row r="389" ht="14.25" customHeight="1">
      <c r="C389" s="6"/>
      <c r="E389" s="1"/>
      <c r="H389" s="6"/>
    </row>
    <row r="390" ht="14.25" customHeight="1">
      <c r="C390" s="6"/>
      <c r="E390" s="1"/>
      <c r="H390" s="6"/>
    </row>
    <row r="391" ht="14.25" customHeight="1">
      <c r="C391" s="6"/>
      <c r="E391" s="1"/>
      <c r="H391" s="6"/>
    </row>
    <row r="392" ht="14.25" customHeight="1">
      <c r="C392" s="6"/>
      <c r="E392" s="1"/>
      <c r="H392" s="6"/>
    </row>
    <row r="393" ht="14.25" customHeight="1">
      <c r="C393" s="6"/>
      <c r="E393" s="1"/>
      <c r="H393" s="6"/>
    </row>
    <row r="394" ht="14.25" customHeight="1">
      <c r="C394" s="6"/>
      <c r="E394" s="1"/>
      <c r="H394" s="6"/>
    </row>
    <row r="395" ht="14.25" customHeight="1">
      <c r="C395" s="6"/>
      <c r="E395" s="1"/>
      <c r="H395" s="6"/>
    </row>
    <row r="396" ht="14.25" customHeight="1">
      <c r="C396" s="6"/>
      <c r="E396" s="1"/>
      <c r="H396" s="6"/>
    </row>
    <row r="397" ht="14.25" customHeight="1">
      <c r="C397" s="6"/>
      <c r="E397" s="1"/>
      <c r="H397" s="6"/>
    </row>
    <row r="398" ht="14.25" customHeight="1">
      <c r="C398" s="6"/>
      <c r="E398" s="1"/>
      <c r="H398" s="6"/>
    </row>
    <row r="399" ht="14.25" customHeight="1">
      <c r="C399" s="6"/>
      <c r="E399" s="1"/>
      <c r="H399" s="6"/>
    </row>
    <row r="400" ht="14.25" customHeight="1">
      <c r="C400" s="6"/>
      <c r="E400" s="1"/>
      <c r="H400" s="6"/>
    </row>
    <row r="401" ht="14.25" customHeight="1">
      <c r="C401" s="6"/>
      <c r="E401" s="1"/>
      <c r="H401" s="6"/>
    </row>
    <row r="402" ht="14.25" customHeight="1">
      <c r="C402" s="6"/>
      <c r="E402" s="1"/>
      <c r="H402" s="6"/>
    </row>
    <row r="403" ht="14.25" customHeight="1">
      <c r="C403" s="6"/>
      <c r="E403" s="1"/>
      <c r="H403" s="6"/>
    </row>
    <row r="404" ht="14.25" customHeight="1">
      <c r="C404" s="6"/>
      <c r="E404" s="1"/>
      <c r="H404" s="6"/>
    </row>
    <row r="405" ht="14.25" customHeight="1">
      <c r="C405" s="6"/>
      <c r="E405" s="1"/>
      <c r="H405" s="6"/>
    </row>
    <row r="406" ht="14.25" customHeight="1">
      <c r="C406" s="6"/>
      <c r="E406" s="1"/>
      <c r="H406" s="6"/>
    </row>
    <row r="407" ht="14.25" customHeight="1">
      <c r="C407" s="6"/>
      <c r="E407" s="1"/>
      <c r="H407" s="6"/>
    </row>
    <row r="408" ht="14.25" customHeight="1">
      <c r="C408" s="6"/>
      <c r="E408" s="1"/>
      <c r="H408" s="6"/>
    </row>
    <row r="409" ht="14.25" customHeight="1">
      <c r="C409" s="6"/>
      <c r="E409" s="1"/>
      <c r="H409" s="6"/>
    </row>
    <row r="410" ht="14.25" customHeight="1">
      <c r="C410" s="6"/>
      <c r="E410" s="1"/>
      <c r="H410" s="6"/>
    </row>
    <row r="411" ht="14.25" customHeight="1">
      <c r="C411" s="6"/>
      <c r="E411" s="1"/>
      <c r="H411" s="6"/>
    </row>
    <row r="412" ht="14.25" customHeight="1">
      <c r="C412" s="6"/>
      <c r="E412" s="1"/>
      <c r="H412" s="6"/>
    </row>
    <row r="413" ht="14.25" customHeight="1">
      <c r="C413" s="6"/>
      <c r="E413" s="1"/>
      <c r="H413" s="6"/>
    </row>
    <row r="414" ht="14.25" customHeight="1">
      <c r="C414" s="6"/>
      <c r="E414" s="1"/>
      <c r="H414" s="6"/>
    </row>
    <row r="415" ht="14.25" customHeight="1">
      <c r="C415" s="6"/>
      <c r="E415" s="1"/>
      <c r="H415" s="6"/>
    </row>
    <row r="416" ht="14.25" customHeight="1">
      <c r="C416" s="6"/>
      <c r="E416" s="1"/>
      <c r="H416" s="6"/>
    </row>
    <row r="417" ht="14.25" customHeight="1">
      <c r="C417" s="6"/>
      <c r="E417" s="1"/>
      <c r="H417" s="6"/>
    </row>
    <row r="418" ht="14.25" customHeight="1">
      <c r="C418" s="6"/>
      <c r="E418" s="1"/>
      <c r="H418" s="6"/>
    </row>
    <row r="419" ht="14.25" customHeight="1">
      <c r="C419" s="6"/>
      <c r="E419" s="1"/>
      <c r="H419" s="6"/>
    </row>
    <row r="420" ht="14.25" customHeight="1">
      <c r="C420" s="6"/>
      <c r="E420" s="1"/>
      <c r="H420" s="6"/>
    </row>
    <row r="421" ht="14.25" customHeight="1">
      <c r="C421" s="6"/>
      <c r="E421" s="1"/>
      <c r="H421" s="6"/>
    </row>
    <row r="422" ht="14.25" customHeight="1">
      <c r="C422" s="6"/>
      <c r="E422" s="1"/>
      <c r="H422" s="6"/>
    </row>
    <row r="423" ht="14.25" customHeight="1">
      <c r="C423" s="6"/>
      <c r="E423" s="1"/>
      <c r="H423" s="6"/>
    </row>
    <row r="424" ht="14.25" customHeight="1">
      <c r="C424" s="6"/>
      <c r="E424" s="1"/>
      <c r="H424" s="6"/>
    </row>
    <row r="425" ht="14.25" customHeight="1">
      <c r="C425" s="6"/>
      <c r="E425" s="1"/>
      <c r="H425" s="6"/>
    </row>
    <row r="426" ht="14.25" customHeight="1">
      <c r="C426" s="6"/>
      <c r="E426" s="1"/>
      <c r="H426" s="6"/>
    </row>
    <row r="427" ht="14.25" customHeight="1">
      <c r="C427" s="6"/>
      <c r="E427" s="1"/>
      <c r="H427" s="6"/>
    </row>
    <row r="428" ht="14.25" customHeight="1">
      <c r="C428" s="6"/>
      <c r="E428" s="1"/>
      <c r="H428" s="6"/>
    </row>
    <row r="429" ht="14.25" customHeight="1">
      <c r="C429" s="6"/>
      <c r="E429" s="1"/>
      <c r="H429" s="6"/>
    </row>
    <row r="430" ht="14.25" customHeight="1">
      <c r="C430" s="6"/>
      <c r="E430" s="1"/>
      <c r="H430" s="6"/>
    </row>
    <row r="431" ht="14.25" customHeight="1">
      <c r="C431" s="6"/>
      <c r="E431" s="1"/>
      <c r="H431" s="6"/>
    </row>
    <row r="432" ht="14.25" customHeight="1">
      <c r="C432" s="6"/>
      <c r="E432" s="1"/>
      <c r="H432" s="6"/>
    </row>
    <row r="433" ht="14.25" customHeight="1">
      <c r="C433" s="6"/>
      <c r="E433" s="1"/>
      <c r="H433" s="6"/>
    </row>
    <row r="434" ht="14.25" customHeight="1">
      <c r="C434" s="6"/>
      <c r="E434" s="1"/>
      <c r="H434" s="6"/>
    </row>
    <row r="435" ht="14.25" customHeight="1">
      <c r="C435" s="6"/>
      <c r="E435" s="1"/>
      <c r="H435" s="6"/>
    </row>
    <row r="436" ht="14.25" customHeight="1">
      <c r="C436" s="6"/>
      <c r="E436" s="1"/>
      <c r="H436" s="6"/>
    </row>
    <row r="437" ht="14.25" customHeight="1">
      <c r="C437" s="6"/>
      <c r="E437" s="1"/>
      <c r="H437" s="6"/>
    </row>
    <row r="438" ht="14.25" customHeight="1">
      <c r="C438" s="6"/>
      <c r="E438" s="1"/>
      <c r="H438" s="6"/>
    </row>
    <row r="439" ht="14.25" customHeight="1">
      <c r="C439" s="6"/>
      <c r="E439" s="1"/>
      <c r="H439" s="6"/>
    </row>
    <row r="440" ht="14.25" customHeight="1">
      <c r="C440" s="6"/>
      <c r="E440" s="1"/>
      <c r="H440" s="6"/>
    </row>
    <row r="441" ht="14.25" customHeight="1">
      <c r="C441" s="6"/>
      <c r="E441" s="1"/>
      <c r="H441" s="6"/>
    </row>
    <row r="442" ht="14.25" customHeight="1">
      <c r="C442" s="6"/>
      <c r="E442" s="1"/>
      <c r="H442" s="6"/>
    </row>
    <row r="443" ht="14.25" customHeight="1">
      <c r="C443" s="6"/>
      <c r="E443" s="1"/>
      <c r="H443" s="6"/>
    </row>
    <row r="444" ht="14.25" customHeight="1">
      <c r="C444" s="6"/>
      <c r="E444" s="1"/>
      <c r="H444" s="6"/>
    </row>
    <row r="445" ht="14.25" customHeight="1">
      <c r="C445" s="6"/>
      <c r="E445" s="1"/>
      <c r="H445" s="6"/>
    </row>
    <row r="446" ht="14.25" customHeight="1">
      <c r="C446" s="6"/>
      <c r="E446" s="1"/>
      <c r="H446" s="6"/>
    </row>
    <row r="447" ht="14.25" customHeight="1">
      <c r="C447" s="6"/>
      <c r="E447" s="1"/>
      <c r="H447" s="6"/>
    </row>
    <row r="448" ht="14.25" customHeight="1">
      <c r="C448" s="6"/>
      <c r="E448" s="1"/>
      <c r="H448" s="6"/>
    </row>
    <row r="449" ht="14.25" customHeight="1">
      <c r="C449" s="6"/>
      <c r="E449" s="1"/>
      <c r="H449" s="6"/>
    </row>
    <row r="450" ht="14.25" customHeight="1">
      <c r="C450" s="6"/>
      <c r="E450" s="1"/>
      <c r="H450" s="6"/>
    </row>
    <row r="451" ht="14.25" customHeight="1">
      <c r="C451" s="6"/>
      <c r="E451" s="1"/>
      <c r="H451" s="6"/>
    </row>
    <row r="452" ht="14.25" customHeight="1">
      <c r="C452" s="6"/>
      <c r="E452" s="1"/>
      <c r="H452" s="6"/>
    </row>
    <row r="453" ht="14.25" customHeight="1">
      <c r="C453" s="6"/>
      <c r="E453" s="1"/>
      <c r="H453" s="6"/>
    </row>
    <row r="454" ht="14.25" customHeight="1">
      <c r="C454" s="6"/>
      <c r="E454" s="1"/>
      <c r="H454" s="6"/>
    </row>
    <row r="455" ht="14.25" customHeight="1">
      <c r="C455" s="6"/>
      <c r="E455" s="1"/>
      <c r="H455" s="6"/>
    </row>
    <row r="456" ht="14.25" customHeight="1">
      <c r="C456" s="6"/>
      <c r="E456" s="1"/>
      <c r="H456" s="6"/>
    </row>
    <row r="457" ht="14.25" customHeight="1">
      <c r="C457" s="6"/>
      <c r="E457" s="1"/>
      <c r="H457" s="6"/>
    </row>
    <row r="458" ht="14.25" customHeight="1">
      <c r="C458" s="6"/>
      <c r="E458" s="1"/>
      <c r="H458" s="6"/>
    </row>
    <row r="459" ht="14.25" customHeight="1">
      <c r="C459" s="6"/>
      <c r="E459" s="1"/>
      <c r="H459" s="6"/>
    </row>
    <row r="460" ht="14.25" customHeight="1">
      <c r="C460" s="6"/>
      <c r="E460" s="1"/>
      <c r="H460" s="6"/>
    </row>
    <row r="461" ht="14.25" customHeight="1">
      <c r="C461" s="6"/>
      <c r="E461" s="1"/>
      <c r="H461" s="6"/>
    </row>
    <row r="462" ht="14.25" customHeight="1">
      <c r="C462" s="6"/>
      <c r="E462" s="1"/>
      <c r="H462" s="6"/>
    </row>
    <row r="463" ht="14.25" customHeight="1">
      <c r="C463" s="6"/>
      <c r="E463" s="1"/>
      <c r="H463" s="6"/>
    </row>
    <row r="464" ht="14.25" customHeight="1">
      <c r="C464" s="6"/>
      <c r="E464" s="1"/>
      <c r="H464" s="6"/>
    </row>
    <row r="465" ht="14.25" customHeight="1">
      <c r="C465" s="6"/>
      <c r="E465" s="1"/>
      <c r="H465" s="6"/>
    </row>
    <row r="466" ht="14.25" customHeight="1">
      <c r="C466" s="6"/>
      <c r="E466" s="1"/>
      <c r="H466" s="6"/>
    </row>
    <row r="467" ht="14.25" customHeight="1">
      <c r="C467" s="6"/>
      <c r="E467" s="1"/>
      <c r="H467" s="6"/>
    </row>
    <row r="468" ht="14.25" customHeight="1">
      <c r="C468" s="6"/>
      <c r="E468" s="1"/>
      <c r="H468" s="6"/>
    </row>
    <row r="469" ht="14.25" customHeight="1">
      <c r="C469" s="6"/>
      <c r="E469" s="1"/>
      <c r="H469" s="6"/>
    </row>
    <row r="470" ht="14.25" customHeight="1">
      <c r="C470" s="6"/>
      <c r="E470" s="1"/>
      <c r="H470" s="6"/>
    </row>
    <row r="471" ht="14.25" customHeight="1">
      <c r="C471" s="6"/>
      <c r="E471" s="1"/>
      <c r="H471" s="6"/>
    </row>
    <row r="472" ht="14.25" customHeight="1">
      <c r="C472" s="6"/>
      <c r="E472" s="1"/>
      <c r="H472" s="6"/>
    </row>
    <row r="473" ht="14.25" customHeight="1">
      <c r="C473" s="6"/>
      <c r="E473" s="1"/>
      <c r="H473" s="6"/>
    </row>
    <row r="474" ht="14.25" customHeight="1">
      <c r="C474" s="6"/>
      <c r="E474" s="1"/>
      <c r="H474" s="6"/>
    </row>
    <row r="475" ht="14.25" customHeight="1">
      <c r="C475" s="6"/>
      <c r="E475" s="1"/>
      <c r="H475" s="6"/>
    </row>
    <row r="476" ht="14.25" customHeight="1">
      <c r="C476" s="6"/>
      <c r="E476" s="1"/>
      <c r="H476" s="6"/>
    </row>
    <row r="477" ht="14.25" customHeight="1">
      <c r="C477" s="6"/>
      <c r="E477" s="1"/>
      <c r="H477" s="6"/>
    </row>
    <row r="478" ht="14.25" customHeight="1">
      <c r="C478" s="6"/>
      <c r="E478" s="1"/>
      <c r="H478" s="6"/>
    </row>
    <row r="479" ht="14.25" customHeight="1">
      <c r="C479" s="6"/>
      <c r="E479" s="1"/>
      <c r="H479" s="6"/>
    </row>
    <row r="480" ht="14.25" customHeight="1">
      <c r="C480" s="6"/>
      <c r="E480" s="1"/>
      <c r="H480" s="6"/>
    </row>
    <row r="481" ht="14.25" customHeight="1">
      <c r="C481" s="6"/>
      <c r="E481" s="1"/>
      <c r="H481" s="6"/>
    </row>
    <row r="482" ht="14.25" customHeight="1">
      <c r="C482" s="6"/>
      <c r="E482" s="1"/>
      <c r="H482" s="6"/>
    </row>
    <row r="483" ht="14.25" customHeight="1">
      <c r="C483" s="6"/>
      <c r="E483" s="1"/>
      <c r="H483" s="6"/>
    </row>
    <row r="484" ht="14.25" customHeight="1">
      <c r="C484" s="6"/>
      <c r="E484" s="1"/>
      <c r="H484" s="6"/>
    </row>
    <row r="485" ht="14.25" customHeight="1">
      <c r="C485" s="6"/>
      <c r="E485" s="1"/>
      <c r="H485" s="6"/>
    </row>
    <row r="486" ht="14.25" customHeight="1">
      <c r="C486" s="6"/>
      <c r="E486" s="1"/>
      <c r="H486" s="6"/>
    </row>
    <row r="487" ht="14.25" customHeight="1">
      <c r="C487" s="6"/>
      <c r="E487" s="1"/>
      <c r="H487" s="6"/>
    </row>
    <row r="488" ht="14.25" customHeight="1">
      <c r="C488" s="6"/>
      <c r="E488" s="1"/>
      <c r="H488" s="6"/>
    </row>
    <row r="489" ht="14.25" customHeight="1">
      <c r="C489" s="6"/>
      <c r="E489" s="1"/>
      <c r="H489" s="6"/>
    </row>
    <row r="490" ht="14.25" customHeight="1">
      <c r="C490" s="6"/>
      <c r="E490" s="1"/>
      <c r="H490" s="6"/>
    </row>
    <row r="491" ht="14.25" customHeight="1">
      <c r="C491" s="6"/>
      <c r="E491" s="1"/>
      <c r="H491" s="6"/>
    </row>
    <row r="492" ht="14.25" customHeight="1">
      <c r="C492" s="6"/>
      <c r="E492" s="1"/>
      <c r="H492" s="6"/>
    </row>
    <row r="493" ht="14.25" customHeight="1">
      <c r="C493" s="6"/>
      <c r="E493" s="1"/>
      <c r="H493" s="6"/>
    </row>
    <row r="494" ht="14.25" customHeight="1">
      <c r="C494" s="6"/>
      <c r="E494" s="1"/>
      <c r="H494" s="6"/>
    </row>
    <row r="495" ht="14.25" customHeight="1">
      <c r="C495" s="6"/>
      <c r="E495" s="1"/>
      <c r="H495" s="6"/>
    </row>
    <row r="496" ht="14.25" customHeight="1">
      <c r="C496" s="6"/>
      <c r="E496" s="1"/>
      <c r="H496" s="6"/>
    </row>
    <row r="497" ht="14.25" customHeight="1">
      <c r="C497" s="6"/>
      <c r="E497" s="1"/>
      <c r="H497" s="6"/>
    </row>
    <row r="498" ht="14.25" customHeight="1">
      <c r="C498" s="6"/>
      <c r="E498" s="1"/>
      <c r="H498" s="6"/>
    </row>
    <row r="499" ht="14.25" customHeight="1">
      <c r="C499" s="6"/>
      <c r="E499" s="1"/>
      <c r="H499" s="6"/>
    </row>
    <row r="500" ht="14.25" customHeight="1">
      <c r="C500" s="6"/>
      <c r="E500" s="1"/>
      <c r="H500" s="6"/>
    </row>
    <row r="501" ht="14.25" customHeight="1">
      <c r="C501" s="6"/>
      <c r="E501" s="1"/>
      <c r="H501" s="6"/>
    </row>
    <row r="502" ht="14.25" customHeight="1">
      <c r="C502" s="6"/>
      <c r="E502" s="1"/>
      <c r="H502" s="6"/>
    </row>
    <row r="503" ht="14.25" customHeight="1">
      <c r="C503" s="6"/>
      <c r="E503" s="1"/>
      <c r="H503" s="6"/>
    </row>
    <row r="504" ht="14.25" customHeight="1">
      <c r="C504" s="6"/>
      <c r="E504" s="1"/>
      <c r="H504" s="6"/>
    </row>
    <row r="505" ht="14.25" customHeight="1">
      <c r="C505" s="6"/>
      <c r="E505" s="1"/>
      <c r="H505" s="6"/>
    </row>
    <row r="506" ht="14.25" customHeight="1">
      <c r="C506" s="6"/>
      <c r="E506" s="1"/>
      <c r="H506" s="6"/>
    </row>
    <row r="507" ht="14.25" customHeight="1">
      <c r="C507" s="6"/>
      <c r="E507" s="1"/>
      <c r="H507" s="6"/>
    </row>
    <row r="508" ht="14.25" customHeight="1">
      <c r="C508" s="6"/>
      <c r="E508" s="1"/>
      <c r="H508" s="6"/>
    </row>
    <row r="509" ht="14.25" customHeight="1">
      <c r="C509" s="6"/>
      <c r="E509" s="1"/>
      <c r="H509" s="6"/>
    </row>
    <row r="510" ht="14.25" customHeight="1">
      <c r="C510" s="6"/>
      <c r="E510" s="1"/>
      <c r="H510" s="6"/>
    </row>
    <row r="511" ht="14.25" customHeight="1">
      <c r="C511" s="6"/>
      <c r="E511" s="1"/>
      <c r="H511" s="6"/>
    </row>
    <row r="512" ht="14.25" customHeight="1">
      <c r="C512" s="6"/>
      <c r="E512" s="1"/>
      <c r="H512" s="6"/>
    </row>
    <row r="513" ht="14.25" customHeight="1">
      <c r="C513" s="6"/>
      <c r="E513" s="1"/>
      <c r="H513" s="6"/>
    </row>
    <row r="514" ht="14.25" customHeight="1">
      <c r="C514" s="6"/>
      <c r="E514" s="1"/>
      <c r="H514" s="6"/>
    </row>
    <row r="515" ht="14.25" customHeight="1">
      <c r="C515" s="6"/>
      <c r="E515" s="1"/>
      <c r="H515" s="6"/>
    </row>
    <row r="516" ht="14.25" customHeight="1">
      <c r="C516" s="6"/>
      <c r="E516" s="1"/>
      <c r="H516" s="6"/>
    </row>
    <row r="517" ht="14.25" customHeight="1">
      <c r="C517" s="6"/>
      <c r="E517" s="1"/>
      <c r="H517" s="6"/>
    </row>
    <row r="518" ht="14.25" customHeight="1">
      <c r="C518" s="6"/>
      <c r="E518" s="1"/>
      <c r="H518" s="6"/>
    </row>
    <row r="519" ht="14.25" customHeight="1">
      <c r="C519" s="6"/>
      <c r="E519" s="1"/>
      <c r="H519" s="6"/>
    </row>
    <row r="520" ht="14.25" customHeight="1">
      <c r="C520" s="6"/>
      <c r="E520" s="1"/>
      <c r="H520" s="6"/>
    </row>
    <row r="521" ht="14.25" customHeight="1">
      <c r="C521" s="6"/>
      <c r="E521" s="1"/>
      <c r="H521" s="6"/>
    </row>
    <row r="522" ht="14.25" customHeight="1">
      <c r="C522" s="6"/>
      <c r="E522" s="1"/>
      <c r="H522" s="6"/>
    </row>
    <row r="523" ht="14.25" customHeight="1">
      <c r="C523" s="6"/>
      <c r="E523" s="1"/>
      <c r="H523" s="6"/>
    </row>
    <row r="524" ht="14.25" customHeight="1">
      <c r="C524" s="6"/>
      <c r="E524" s="1"/>
      <c r="H524" s="6"/>
    </row>
    <row r="525" ht="14.25" customHeight="1">
      <c r="C525" s="6"/>
      <c r="E525" s="1"/>
      <c r="H525" s="6"/>
    </row>
    <row r="526" ht="14.25" customHeight="1">
      <c r="C526" s="6"/>
      <c r="E526" s="1"/>
      <c r="H526" s="6"/>
    </row>
    <row r="527" ht="14.25" customHeight="1">
      <c r="C527" s="6"/>
      <c r="E527" s="1"/>
      <c r="H527" s="6"/>
    </row>
    <row r="528" ht="14.25" customHeight="1">
      <c r="C528" s="6"/>
      <c r="E528" s="1"/>
      <c r="H528" s="6"/>
    </row>
    <row r="529" ht="14.25" customHeight="1">
      <c r="C529" s="6"/>
      <c r="E529" s="1"/>
      <c r="H529" s="6"/>
    </row>
    <row r="530" ht="14.25" customHeight="1">
      <c r="C530" s="6"/>
      <c r="E530" s="1"/>
      <c r="H530" s="6"/>
    </row>
    <row r="531" ht="14.25" customHeight="1">
      <c r="C531" s="6"/>
      <c r="E531" s="1"/>
      <c r="H531" s="6"/>
    </row>
    <row r="532" ht="14.25" customHeight="1">
      <c r="C532" s="6"/>
      <c r="E532" s="1"/>
      <c r="H532" s="6"/>
    </row>
    <row r="533" ht="14.25" customHeight="1">
      <c r="C533" s="6"/>
      <c r="E533" s="1"/>
      <c r="H533" s="6"/>
    </row>
    <row r="534" ht="14.25" customHeight="1">
      <c r="C534" s="6"/>
      <c r="E534" s="1"/>
      <c r="H534" s="6"/>
    </row>
    <row r="535" ht="14.25" customHeight="1">
      <c r="C535" s="6"/>
      <c r="E535" s="1"/>
      <c r="H535" s="6"/>
    </row>
    <row r="536" ht="14.25" customHeight="1">
      <c r="C536" s="6"/>
      <c r="E536" s="1"/>
      <c r="H536" s="6"/>
    </row>
    <row r="537" ht="14.25" customHeight="1">
      <c r="C537" s="6"/>
      <c r="E537" s="1"/>
      <c r="H537" s="6"/>
    </row>
    <row r="538" ht="14.25" customHeight="1">
      <c r="C538" s="6"/>
      <c r="E538" s="1"/>
      <c r="H538" s="6"/>
    </row>
    <row r="539" ht="14.25" customHeight="1">
      <c r="C539" s="6"/>
      <c r="E539" s="1"/>
      <c r="H539" s="6"/>
    </row>
    <row r="540" ht="14.25" customHeight="1">
      <c r="C540" s="6"/>
      <c r="E540" s="1"/>
      <c r="H540" s="6"/>
    </row>
    <row r="541" ht="14.25" customHeight="1">
      <c r="C541" s="6"/>
      <c r="E541" s="1"/>
      <c r="H541" s="6"/>
    </row>
    <row r="542" ht="14.25" customHeight="1">
      <c r="C542" s="6"/>
      <c r="E542" s="1"/>
      <c r="H542" s="6"/>
    </row>
    <row r="543" ht="14.25" customHeight="1">
      <c r="C543" s="6"/>
      <c r="E543" s="1"/>
      <c r="H543" s="6"/>
    </row>
    <row r="544" ht="14.25" customHeight="1">
      <c r="C544" s="6"/>
      <c r="E544" s="1"/>
      <c r="H544" s="6"/>
    </row>
    <row r="545" ht="14.25" customHeight="1">
      <c r="C545" s="6"/>
      <c r="E545" s="1"/>
      <c r="H545" s="6"/>
    </row>
    <row r="546" ht="14.25" customHeight="1">
      <c r="C546" s="6"/>
      <c r="E546" s="1"/>
      <c r="H546" s="6"/>
    </row>
    <row r="547" ht="14.25" customHeight="1">
      <c r="C547" s="6"/>
      <c r="E547" s="1"/>
      <c r="H547" s="6"/>
    </row>
    <row r="548" ht="14.25" customHeight="1">
      <c r="C548" s="6"/>
      <c r="E548" s="1"/>
      <c r="H548" s="6"/>
    </row>
    <row r="549" ht="14.25" customHeight="1">
      <c r="C549" s="6"/>
      <c r="E549" s="1"/>
      <c r="H549" s="6"/>
    </row>
    <row r="550" ht="14.25" customHeight="1">
      <c r="C550" s="6"/>
      <c r="E550" s="1"/>
      <c r="H550" s="6"/>
    </row>
    <row r="551" ht="14.25" customHeight="1">
      <c r="C551" s="6"/>
      <c r="E551" s="1"/>
      <c r="H551" s="6"/>
    </row>
    <row r="552" ht="14.25" customHeight="1">
      <c r="C552" s="6"/>
      <c r="E552" s="1"/>
      <c r="H552" s="6"/>
    </row>
    <row r="553" ht="14.25" customHeight="1">
      <c r="C553" s="6"/>
      <c r="E553" s="1"/>
      <c r="H553" s="6"/>
    </row>
    <row r="554" ht="14.25" customHeight="1">
      <c r="C554" s="6"/>
      <c r="E554" s="1"/>
      <c r="H554" s="6"/>
    </row>
    <row r="555" ht="14.25" customHeight="1">
      <c r="C555" s="6"/>
      <c r="E555" s="1"/>
      <c r="H555" s="6"/>
    </row>
    <row r="556" ht="14.25" customHeight="1">
      <c r="C556" s="6"/>
      <c r="E556" s="1"/>
      <c r="H556" s="6"/>
    </row>
    <row r="557" ht="14.25" customHeight="1">
      <c r="C557" s="6"/>
      <c r="E557" s="1"/>
      <c r="H557" s="6"/>
    </row>
    <row r="558" ht="14.25" customHeight="1">
      <c r="C558" s="6"/>
      <c r="E558" s="1"/>
      <c r="H558" s="6"/>
    </row>
    <row r="559" ht="14.25" customHeight="1">
      <c r="C559" s="6"/>
      <c r="E559" s="1"/>
      <c r="H559" s="6"/>
    </row>
    <row r="560" ht="14.25" customHeight="1">
      <c r="C560" s="6"/>
      <c r="E560" s="1"/>
      <c r="H560" s="6"/>
    </row>
    <row r="561" ht="14.25" customHeight="1">
      <c r="C561" s="6"/>
      <c r="E561" s="1"/>
      <c r="H561" s="6"/>
    </row>
    <row r="562" ht="14.25" customHeight="1">
      <c r="C562" s="6"/>
      <c r="E562" s="1"/>
      <c r="H562" s="6"/>
    </row>
    <row r="563" ht="14.25" customHeight="1">
      <c r="C563" s="6"/>
      <c r="E563" s="1"/>
      <c r="H563" s="6"/>
    </row>
    <row r="564" ht="14.25" customHeight="1">
      <c r="C564" s="6"/>
      <c r="E564" s="1"/>
      <c r="H564" s="6"/>
    </row>
    <row r="565" ht="14.25" customHeight="1">
      <c r="C565" s="6"/>
      <c r="E565" s="1"/>
      <c r="H565" s="6"/>
    </row>
    <row r="566" ht="14.25" customHeight="1">
      <c r="C566" s="6"/>
      <c r="E566" s="1"/>
      <c r="H566" s="6"/>
    </row>
    <row r="567" ht="14.25" customHeight="1">
      <c r="C567" s="6"/>
      <c r="E567" s="1"/>
      <c r="H567" s="6"/>
    </row>
    <row r="568" ht="14.25" customHeight="1">
      <c r="C568" s="6"/>
      <c r="E568" s="1"/>
      <c r="H568" s="6"/>
    </row>
    <row r="569" ht="14.25" customHeight="1">
      <c r="C569" s="6"/>
      <c r="E569" s="1"/>
      <c r="H569" s="6"/>
    </row>
    <row r="570" ht="14.25" customHeight="1">
      <c r="C570" s="6"/>
      <c r="E570" s="1"/>
      <c r="H570" s="6"/>
    </row>
    <row r="571" ht="14.25" customHeight="1">
      <c r="C571" s="6"/>
      <c r="E571" s="1"/>
      <c r="H571" s="6"/>
    </row>
    <row r="572" ht="14.25" customHeight="1">
      <c r="C572" s="6"/>
      <c r="E572" s="1"/>
      <c r="H572" s="6"/>
    </row>
    <row r="573" ht="14.25" customHeight="1">
      <c r="C573" s="6"/>
      <c r="E573" s="1"/>
      <c r="H573" s="6"/>
    </row>
    <row r="574" ht="14.25" customHeight="1">
      <c r="C574" s="6"/>
      <c r="E574" s="1"/>
      <c r="H574" s="6"/>
    </row>
    <row r="575" ht="14.25" customHeight="1">
      <c r="C575" s="6"/>
      <c r="E575" s="1"/>
      <c r="H575" s="6"/>
    </row>
    <row r="576" ht="14.25" customHeight="1">
      <c r="C576" s="6"/>
      <c r="E576" s="1"/>
      <c r="H576" s="6"/>
    </row>
    <row r="577" ht="14.25" customHeight="1">
      <c r="C577" s="6"/>
      <c r="E577" s="1"/>
      <c r="H577" s="6"/>
    </row>
    <row r="578" ht="14.25" customHeight="1">
      <c r="C578" s="6"/>
      <c r="E578" s="1"/>
      <c r="H578" s="6"/>
    </row>
    <row r="579" ht="14.25" customHeight="1">
      <c r="C579" s="6"/>
      <c r="E579" s="1"/>
      <c r="H579" s="6"/>
    </row>
    <row r="580" ht="14.25" customHeight="1">
      <c r="C580" s="6"/>
      <c r="E580" s="1"/>
      <c r="H580" s="6"/>
    </row>
    <row r="581" ht="14.25" customHeight="1">
      <c r="C581" s="6"/>
      <c r="E581" s="1"/>
      <c r="H581" s="6"/>
    </row>
    <row r="582" ht="14.25" customHeight="1">
      <c r="C582" s="6"/>
      <c r="E582" s="1"/>
      <c r="H582" s="6"/>
    </row>
    <row r="583" ht="14.25" customHeight="1">
      <c r="C583" s="6"/>
      <c r="E583" s="1"/>
      <c r="H583" s="6"/>
    </row>
    <row r="584" ht="14.25" customHeight="1">
      <c r="C584" s="6"/>
      <c r="E584" s="1"/>
      <c r="H584" s="6"/>
    </row>
    <row r="585" ht="14.25" customHeight="1">
      <c r="C585" s="6"/>
      <c r="E585" s="1"/>
      <c r="H585" s="6"/>
    </row>
    <row r="586" ht="14.25" customHeight="1">
      <c r="C586" s="6"/>
      <c r="E586" s="1"/>
      <c r="H586" s="6"/>
    </row>
    <row r="587" ht="14.25" customHeight="1">
      <c r="C587" s="6"/>
      <c r="E587" s="1"/>
      <c r="H587" s="6"/>
    </row>
    <row r="588" ht="14.25" customHeight="1">
      <c r="C588" s="6"/>
      <c r="E588" s="1"/>
      <c r="H588" s="6"/>
    </row>
    <row r="589" ht="14.25" customHeight="1">
      <c r="C589" s="6"/>
      <c r="E589" s="1"/>
      <c r="H589" s="6"/>
    </row>
    <row r="590" ht="14.25" customHeight="1">
      <c r="C590" s="6"/>
      <c r="E590" s="1"/>
      <c r="H590" s="6"/>
    </row>
    <row r="591" ht="14.25" customHeight="1">
      <c r="C591" s="6"/>
      <c r="E591" s="1"/>
      <c r="H591" s="6"/>
    </row>
    <row r="592" ht="14.25" customHeight="1">
      <c r="C592" s="6"/>
      <c r="E592" s="1"/>
      <c r="H592" s="6"/>
    </row>
    <row r="593" ht="14.25" customHeight="1">
      <c r="C593" s="6"/>
      <c r="E593" s="1"/>
      <c r="H593" s="6"/>
    </row>
    <row r="594" ht="14.25" customHeight="1">
      <c r="C594" s="6"/>
      <c r="E594" s="1"/>
      <c r="H594" s="6"/>
    </row>
    <row r="595" ht="14.25" customHeight="1">
      <c r="C595" s="6"/>
      <c r="E595" s="1"/>
      <c r="H595" s="6"/>
    </row>
    <row r="596" ht="14.25" customHeight="1">
      <c r="C596" s="6"/>
      <c r="E596" s="1"/>
      <c r="H596" s="6"/>
    </row>
    <row r="597" ht="14.25" customHeight="1">
      <c r="C597" s="6"/>
      <c r="E597" s="1"/>
      <c r="H597" s="6"/>
    </row>
    <row r="598" ht="14.25" customHeight="1">
      <c r="C598" s="6"/>
      <c r="E598" s="1"/>
      <c r="H598" s="6"/>
    </row>
    <row r="599" ht="14.25" customHeight="1">
      <c r="C599" s="6"/>
      <c r="E599" s="1"/>
      <c r="H599" s="6"/>
    </row>
    <row r="600" ht="14.25" customHeight="1">
      <c r="C600" s="6"/>
      <c r="E600" s="1"/>
      <c r="H600" s="6"/>
    </row>
    <row r="601" ht="14.25" customHeight="1">
      <c r="C601" s="6"/>
      <c r="E601" s="1"/>
      <c r="H601" s="6"/>
    </row>
    <row r="602" ht="14.25" customHeight="1">
      <c r="C602" s="6"/>
      <c r="E602" s="1"/>
      <c r="H602" s="6"/>
    </row>
    <row r="603" ht="14.25" customHeight="1">
      <c r="C603" s="6"/>
      <c r="E603" s="1"/>
      <c r="H603" s="6"/>
    </row>
    <row r="604" ht="14.25" customHeight="1">
      <c r="C604" s="6"/>
      <c r="E604" s="1"/>
      <c r="H604" s="6"/>
    </row>
    <row r="605" ht="14.25" customHeight="1">
      <c r="C605" s="6"/>
      <c r="E605" s="1"/>
      <c r="H605" s="6"/>
    </row>
    <row r="606" ht="14.25" customHeight="1">
      <c r="C606" s="6"/>
      <c r="E606" s="1"/>
      <c r="H606" s="6"/>
    </row>
    <row r="607" ht="14.25" customHeight="1">
      <c r="C607" s="6"/>
      <c r="E607" s="1"/>
      <c r="H607" s="6"/>
    </row>
    <row r="608" ht="14.25" customHeight="1">
      <c r="C608" s="6"/>
      <c r="E608" s="1"/>
      <c r="H608" s="6"/>
    </row>
    <row r="609" ht="14.25" customHeight="1">
      <c r="C609" s="6"/>
      <c r="E609" s="1"/>
      <c r="H609" s="6"/>
    </row>
    <row r="610" ht="14.25" customHeight="1">
      <c r="C610" s="6"/>
      <c r="E610" s="1"/>
      <c r="H610" s="6"/>
    </row>
    <row r="611" ht="14.25" customHeight="1">
      <c r="C611" s="6"/>
      <c r="E611" s="1"/>
      <c r="H611" s="6"/>
    </row>
    <row r="612" ht="14.25" customHeight="1">
      <c r="C612" s="6"/>
      <c r="E612" s="1"/>
      <c r="H612" s="6"/>
    </row>
    <row r="613" ht="14.25" customHeight="1">
      <c r="C613" s="6"/>
      <c r="E613" s="1"/>
      <c r="H613" s="6"/>
    </row>
    <row r="614" ht="14.25" customHeight="1">
      <c r="C614" s="6"/>
      <c r="E614" s="1"/>
      <c r="H614" s="6"/>
    </row>
    <row r="615" ht="14.25" customHeight="1">
      <c r="C615" s="6"/>
      <c r="E615" s="1"/>
      <c r="H615" s="6"/>
    </row>
    <row r="616" ht="14.25" customHeight="1">
      <c r="C616" s="6"/>
      <c r="E616" s="1"/>
      <c r="H616" s="6"/>
    </row>
    <row r="617" ht="14.25" customHeight="1">
      <c r="C617" s="6"/>
      <c r="E617" s="1"/>
      <c r="H617" s="6"/>
    </row>
    <row r="618" ht="14.25" customHeight="1">
      <c r="C618" s="6"/>
      <c r="E618" s="1"/>
      <c r="H618" s="6"/>
    </row>
    <row r="619" ht="14.25" customHeight="1">
      <c r="C619" s="6"/>
      <c r="E619" s="1"/>
      <c r="H619" s="6"/>
    </row>
    <row r="620" ht="14.25" customHeight="1">
      <c r="C620" s="6"/>
      <c r="E620" s="1"/>
      <c r="H620" s="6"/>
    </row>
    <row r="621" ht="14.25" customHeight="1">
      <c r="C621" s="6"/>
      <c r="E621" s="1"/>
      <c r="H621" s="6"/>
    </row>
    <row r="622" ht="14.25" customHeight="1">
      <c r="C622" s="6"/>
      <c r="E622" s="1"/>
      <c r="H622" s="6"/>
    </row>
    <row r="623" ht="14.25" customHeight="1">
      <c r="C623" s="6"/>
      <c r="E623" s="1"/>
      <c r="H623" s="6"/>
    </row>
    <row r="624" ht="14.25" customHeight="1">
      <c r="C624" s="6"/>
      <c r="E624" s="1"/>
      <c r="H624" s="6"/>
    </row>
    <row r="625" ht="14.25" customHeight="1">
      <c r="C625" s="6"/>
      <c r="E625" s="1"/>
      <c r="H625" s="6"/>
    </row>
    <row r="626" ht="14.25" customHeight="1">
      <c r="C626" s="6"/>
      <c r="E626" s="1"/>
      <c r="H626" s="6"/>
    </row>
    <row r="627" ht="14.25" customHeight="1">
      <c r="C627" s="6"/>
      <c r="E627" s="1"/>
      <c r="H627" s="6"/>
    </row>
    <row r="628" ht="14.25" customHeight="1">
      <c r="C628" s="6"/>
      <c r="E628" s="1"/>
      <c r="H628" s="6"/>
    </row>
    <row r="629" ht="14.25" customHeight="1">
      <c r="C629" s="6"/>
      <c r="E629" s="1"/>
      <c r="H629" s="6"/>
    </row>
    <row r="630" ht="14.25" customHeight="1">
      <c r="C630" s="6"/>
      <c r="E630" s="1"/>
      <c r="H630" s="6"/>
    </row>
    <row r="631" ht="14.25" customHeight="1">
      <c r="C631" s="6"/>
      <c r="E631" s="1"/>
      <c r="H631" s="6"/>
    </row>
    <row r="632" ht="14.25" customHeight="1">
      <c r="C632" s="6"/>
      <c r="E632" s="1"/>
      <c r="H632" s="6"/>
    </row>
    <row r="633" ht="14.25" customHeight="1">
      <c r="C633" s="6"/>
      <c r="E633" s="1"/>
      <c r="H633" s="6"/>
    </row>
    <row r="634" ht="14.25" customHeight="1">
      <c r="C634" s="6"/>
      <c r="E634" s="1"/>
      <c r="H634" s="6"/>
    </row>
    <row r="635" ht="14.25" customHeight="1">
      <c r="C635" s="6"/>
      <c r="E635" s="1"/>
      <c r="H635" s="6"/>
    </row>
    <row r="636" ht="14.25" customHeight="1">
      <c r="C636" s="6"/>
      <c r="E636" s="1"/>
      <c r="H636" s="6"/>
    </row>
    <row r="637" ht="14.25" customHeight="1">
      <c r="C637" s="6"/>
      <c r="E637" s="1"/>
      <c r="H637" s="6"/>
    </row>
    <row r="638" ht="14.25" customHeight="1">
      <c r="C638" s="6"/>
      <c r="E638" s="1"/>
      <c r="H638" s="6"/>
    </row>
    <row r="639" ht="14.25" customHeight="1">
      <c r="C639" s="6"/>
      <c r="E639" s="1"/>
      <c r="H639" s="6"/>
    </row>
    <row r="640" ht="14.25" customHeight="1">
      <c r="C640" s="6"/>
      <c r="E640" s="1"/>
      <c r="H640" s="6"/>
    </row>
    <row r="641" ht="14.25" customHeight="1">
      <c r="C641" s="6"/>
      <c r="E641" s="1"/>
      <c r="H641" s="6"/>
    </row>
    <row r="642" ht="14.25" customHeight="1">
      <c r="C642" s="6"/>
      <c r="E642" s="1"/>
      <c r="H642" s="6"/>
    </row>
    <row r="643" ht="14.25" customHeight="1">
      <c r="C643" s="6"/>
      <c r="E643" s="1"/>
      <c r="H643" s="6"/>
    </row>
    <row r="644" ht="14.25" customHeight="1">
      <c r="C644" s="6"/>
      <c r="E644" s="1"/>
      <c r="H644" s="6"/>
    </row>
    <row r="645" ht="14.25" customHeight="1">
      <c r="C645" s="6"/>
      <c r="E645" s="1"/>
      <c r="H645" s="6"/>
    </row>
    <row r="646" ht="14.25" customHeight="1">
      <c r="C646" s="6"/>
      <c r="E646" s="1"/>
      <c r="H646" s="6"/>
    </row>
    <row r="647" ht="14.25" customHeight="1">
      <c r="C647" s="6"/>
      <c r="E647" s="1"/>
      <c r="H647" s="6"/>
    </row>
    <row r="648" ht="14.25" customHeight="1">
      <c r="C648" s="6"/>
      <c r="E648" s="1"/>
      <c r="H648" s="6"/>
    </row>
    <row r="649" ht="14.25" customHeight="1">
      <c r="C649" s="6"/>
      <c r="E649" s="1"/>
      <c r="H649" s="6"/>
    </row>
    <row r="650" ht="14.25" customHeight="1">
      <c r="C650" s="6"/>
      <c r="E650" s="1"/>
      <c r="H650" s="6"/>
    </row>
    <row r="651" ht="14.25" customHeight="1">
      <c r="C651" s="6"/>
      <c r="E651" s="1"/>
      <c r="H651" s="6"/>
    </row>
    <row r="652" ht="14.25" customHeight="1">
      <c r="C652" s="6"/>
      <c r="E652" s="1"/>
      <c r="H652" s="6"/>
    </row>
    <row r="653" ht="14.25" customHeight="1">
      <c r="C653" s="6"/>
      <c r="E653" s="1"/>
      <c r="H653" s="6"/>
    </row>
    <row r="654" ht="14.25" customHeight="1">
      <c r="C654" s="6"/>
      <c r="E654" s="1"/>
      <c r="H654" s="6"/>
    </row>
    <row r="655" ht="14.25" customHeight="1">
      <c r="C655" s="6"/>
      <c r="E655" s="1"/>
      <c r="H655" s="6"/>
    </row>
    <row r="656" ht="14.25" customHeight="1">
      <c r="C656" s="6"/>
      <c r="E656" s="1"/>
      <c r="H656" s="6"/>
    </row>
    <row r="657" ht="14.25" customHeight="1">
      <c r="C657" s="6"/>
      <c r="E657" s="1"/>
      <c r="H657" s="6"/>
    </row>
    <row r="658" ht="14.25" customHeight="1">
      <c r="C658" s="6"/>
      <c r="E658" s="1"/>
      <c r="H658" s="6"/>
    </row>
    <row r="659" ht="14.25" customHeight="1">
      <c r="C659" s="6"/>
      <c r="E659" s="1"/>
      <c r="H659" s="6"/>
    </row>
    <row r="660" ht="14.25" customHeight="1">
      <c r="C660" s="6"/>
      <c r="E660" s="1"/>
      <c r="H660" s="6"/>
    </row>
    <row r="661" ht="14.25" customHeight="1">
      <c r="C661" s="6"/>
      <c r="E661" s="1"/>
      <c r="H661" s="6"/>
    </row>
    <row r="662" ht="14.25" customHeight="1">
      <c r="C662" s="6"/>
      <c r="E662" s="1"/>
      <c r="H662" s="6"/>
    </row>
    <row r="663" ht="14.25" customHeight="1">
      <c r="C663" s="6"/>
      <c r="E663" s="1"/>
      <c r="H663" s="6"/>
    </row>
    <row r="664" ht="14.25" customHeight="1">
      <c r="C664" s="6"/>
      <c r="E664" s="1"/>
      <c r="H664" s="6"/>
    </row>
    <row r="665" ht="14.25" customHeight="1">
      <c r="C665" s="6"/>
      <c r="E665" s="1"/>
      <c r="H665" s="6"/>
    </row>
    <row r="666" ht="14.25" customHeight="1">
      <c r="C666" s="6"/>
      <c r="E666" s="1"/>
      <c r="H666" s="6"/>
    </row>
    <row r="667" ht="14.25" customHeight="1">
      <c r="C667" s="6"/>
      <c r="E667" s="1"/>
      <c r="H667" s="6"/>
    </row>
    <row r="668" ht="14.25" customHeight="1">
      <c r="C668" s="6"/>
      <c r="E668" s="1"/>
      <c r="H668" s="6"/>
    </row>
    <row r="669" ht="14.25" customHeight="1">
      <c r="C669" s="6"/>
      <c r="E669" s="1"/>
      <c r="H669" s="6"/>
    </row>
    <row r="670" ht="14.25" customHeight="1">
      <c r="C670" s="6"/>
      <c r="E670" s="1"/>
      <c r="H670" s="6"/>
    </row>
    <row r="671" ht="14.25" customHeight="1">
      <c r="C671" s="6"/>
      <c r="E671" s="1"/>
      <c r="H671" s="6"/>
    </row>
    <row r="672" ht="14.25" customHeight="1">
      <c r="C672" s="6"/>
      <c r="E672" s="1"/>
      <c r="H672" s="6"/>
    </row>
    <row r="673" ht="14.25" customHeight="1">
      <c r="C673" s="6"/>
      <c r="E673" s="1"/>
      <c r="H673" s="6"/>
    </row>
    <row r="674" ht="14.25" customHeight="1">
      <c r="C674" s="6"/>
      <c r="E674" s="1"/>
      <c r="H674" s="6"/>
    </row>
    <row r="675" ht="14.25" customHeight="1">
      <c r="C675" s="6"/>
      <c r="E675" s="1"/>
      <c r="H675" s="6"/>
    </row>
    <row r="676" ht="14.25" customHeight="1">
      <c r="C676" s="6"/>
      <c r="E676" s="1"/>
      <c r="H676" s="6"/>
    </row>
    <row r="677" ht="14.25" customHeight="1">
      <c r="C677" s="6"/>
      <c r="E677" s="1"/>
      <c r="H677" s="6"/>
    </row>
    <row r="678" ht="14.25" customHeight="1">
      <c r="C678" s="6"/>
      <c r="E678" s="1"/>
      <c r="H678" s="6"/>
    </row>
    <row r="679" ht="14.25" customHeight="1">
      <c r="C679" s="6"/>
      <c r="E679" s="1"/>
      <c r="H679" s="6"/>
    </row>
    <row r="680" ht="14.25" customHeight="1">
      <c r="C680" s="6"/>
      <c r="E680" s="1"/>
      <c r="H680" s="6"/>
    </row>
    <row r="681" ht="14.25" customHeight="1">
      <c r="C681" s="6"/>
      <c r="E681" s="1"/>
      <c r="H681" s="6"/>
    </row>
    <row r="682" ht="14.25" customHeight="1">
      <c r="C682" s="6"/>
      <c r="E682" s="1"/>
      <c r="H682" s="6"/>
    </row>
    <row r="683" ht="14.25" customHeight="1">
      <c r="C683" s="6"/>
      <c r="E683" s="1"/>
      <c r="H683" s="6"/>
    </row>
    <row r="684" ht="14.25" customHeight="1">
      <c r="C684" s="6"/>
      <c r="E684" s="1"/>
      <c r="H684" s="6"/>
    </row>
    <row r="685" ht="14.25" customHeight="1">
      <c r="C685" s="6"/>
      <c r="E685" s="1"/>
      <c r="H685" s="6"/>
    </row>
    <row r="686" ht="14.25" customHeight="1">
      <c r="C686" s="6"/>
      <c r="E686" s="1"/>
      <c r="H686" s="6"/>
    </row>
    <row r="687" ht="14.25" customHeight="1">
      <c r="C687" s="6"/>
      <c r="E687" s="1"/>
      <c r="H687" s="6"/>
    </row>
    <row r="688" ht="14.25" customHeight="1">
      <c r="C688" s="6"/>
      <c r="E688" s="1"/>
      <c r="H688" s="6"/>
    </row>
    <row r="689" ht="14.25" customHeight="1">
      <c r="C689" s="6"/>
      <c r="E689" s="1"/>
      <c r="H689" s="6"/>
    </row>
    <row r="690" ht="14.25" customHeight="1">
      <c r="C690" s="6"/>
      <c r="E690" s="1"/>
      <c r="H690" s="6"/>
    </row>
    <row r="691" ht="14.25" customHeight="1">
      <c r="C691" s="6"/>
      <c r="E691" s="1"/>
      <c r="H691" s="6"/>
    </row>
    <row r="692" ht="14.25" customHeight="1">
      <c r="C692" s="6"/>
      <c r="E692" s="1"/>
      <c r="H692" s="6"/>
    </row>
    <row r="693" ht="14.25" customHeight="1">
      <c r="C693" s="6"/>
      <c r="E693" s="1"/>
      <c r="H693" s="6"/>
    </row>
    <row r="694" ht="14.25" customHeight="1">
      <c r="C694" s="6"/>
      <c r="E694" s="1"/>
      <c r="H694" s="6"/>
    </row>
    <row r="695" ht="14.25" customHeight="1">
      <c r="C695" s="6"/>
      <c r="E695" s="1"/>
      <c r="H695" s="6"/>
    </row>
    <row r="696" ht="14.25" customHeight="1">
      <c r="C696" s="6"/>
      <c r="E696" s="1"/>
      <c r="H696" s="6"/>
    </row>
    <row r="697" ht="14.25" customHeight="1">
      <c r="C697" s="6"/>
      <c r="E697" s="1"/>
      <c r="H697" s="6"/>
    </row>
    <row r="698" ht="14.25" customHeight="1">
      <c r="C698" s="6"/>
      <c r="E698" s="1"/>
      <c r="H698" s="6"/>
    </row>
    <row r="699" ht="14.25" customHeight="1">
      <c r="C699" s="6"/>
      <c r="E699" s="1"/>
      <c r="H699" s="6"/>
    </row>
    <row r="700" ht="14.25" customHeight="1">
      <c r="C700" s="6"/>
      <c r="E700" s="1"/>
      <c r="H700" s="6"/>
    </row>
    <row r="701" ht="14.25" customHeight="1">
      <c r="C701" s="6"/>
      <c r="E701" s="1"/>
      <c r="H701" s="6"/>
    </row>
    <row r="702" ht="14.25" customHeight="1">
      <c r="C702" s="6"/>
      <c r="E702" s="1"/>
      <c r="H702" s="6"/>
    </row>
    <row r="703" ht="14.25" customHeight="1">
      <c r="C703" s="6"/>
      <c r="E703" s="1"/>
      <c r="H703" s="6"/>
    </row>
    <row r="704" ht="14.25" customHeight="1">
      <c r="C704" s="6"/>
      <c r="E704" s="1"/>
      <c r="H704" s="6"/>
    </row>
    <row r="705" ht="14.25" customHeight="1">
      <c r="C705" s="6"/>
      <c r="E705" s="1"/>
      <c r="H705" s="6"/>
    </row>
    <row r="706" ht="14.25" customHeight="1">
      <c r="C706" s="6"/>
      <c r="E706" s="1"/>
      <c r="H706" s="6"/>
    </row>
    <row r="707" ht="14.25" customHeight="1">
      <c r="C707" s="6"/>
      <c r="E707" s="1"/>
      <c r="H707" s="6"/>
    </row>
    <row r="708" ht="14.25" customHeight="1">
      <c r="C708" s="6"/>
      <c r="E708" s="1"/>
      <c r="H708" s="6"/>
    </row>
    <row r="709" ht="14.25" customHeight="1">
      <c r="C709" s="6"/>
      <c r="E709" s="1"/>
      <c r="H709" s="6"/>
    </row>
    <row r="710" ht="14.25" customHeight="1">
      <c r="C710" s="6"/>
      <c r="E710" s="1"/>
      <c r="H710" s="6"/>
    </row>
    <row r="711" ht="14.25" customHeight="1">
      <c r="C711" s="6"/>
      <c r="E711" s="1"/>
      <c r="H711" s="6"/>
    </row>
    <row r="712" ht="14.25" customHeight="1">
      <c r="C712" s="6"/>
      <c r="E712" s="1"/>
      <c r="H712" s="6"/>
    </row>
    <row r="713" ht="14.25" customHeight="1">
      <c r="C713" s="6"/>
      <c r="E713" s="1"/>
      <c r="H713" s="6"/>
    </row>
    <row r="714" ht="14.25" customHeight="1">
      <c r="C714" s="6"/>
      <c r="E714" s="1"/>
      <c r="H714" s="6"/>
    </row>
    <row r="715" ht="14.25" customHeight="1">
      <c r="C715" s="6"/>
      <c r="E715" s="1"/>
      <c r="H715" s="6"/>
    </row>
    <row r="716" ht="14.25" customHeight="1">
      <c r="C716" s="6"/>
      <c r="E716" s="1"/>
      <c r="H716" s="6"/>
    </row>
    <row r="717" ht="14.25" customHeight="1">
      <c r="C717" s="6"/>
      <c r="E717" s="1"/>
      <c r="H717" s="6"/>
    </row>
    <row r="718" ht="14.25" customHeight="1">
      <c r="C718" s="6"/>
      <c r="E718" s="1"/>
      <c r="H718" s="6"/>
    </row>
    <row r="719" ht="14.25" customHeight="1">
      <c r="C719" s="6"/>
      <c r="E719" s="1"/>
      <c r="H719" s="6"/>
    </row>
    <row r="720" ht="14.25" customHeight="1">
      <c r="C720" s="6"/>
      <c r="E720" s="1"/>
      <c r="H720" s="6"/>
    </row>
    <row r="721" ht="14.25" customHeight="1">
      <c r="C721" s="6"/>
      <c r="E721" s="1"/>
      <c r="H721" s="6"/>
    </row>
    <row r="722" ht="14.25" customHeight="1">
      <c r="C722" s="6"/>
      <c r="E722" s="1"/>
      <c r="H722" s="6"/>
    </row>
    <row r="723" ht="14.25" customHeight="1">
      <c r="C723" s="6"/>
      <c r="E723" s="1"/>
      <c r="H723" s="6"/>
    </row>
    <row r="724" ht="14.25" customHeight="1">
      <c r="C724" s="6"/>
      <c r="E724" s="1"/>
      <c r="H724" s="6"/>
    </row>
    <row r="725" ht="14.25" customHeight="1">
      <c r="C725" s="6"/>
      <c r="E725" s="1"/>
      <c r="H725" s="6"/>
    </row>
    <row r="726" ht="14.25" customHeight="1">
      <c r="C726" s="6"/>
      <c r="E726" s="1"/>
      <c r="H726" s="6"/>
    </row>
    <row r="727" ht="14.25" customHeight="1">
      <c r="C727" s="6"/>
      <c r="E727" s="1"/>
      <c r="H727" s="6"/>
    </row>
    <row r="728" ht="14.25" customHeight="1">
      <c r="C728" s="6"/>
      <c r="E728" s="1"/>
      <c r="H728" s="6"/>
    </row>
    <row r="729" ht="14.25" customHeight="1">
      <c r="C729" s="6"/>
      <c r="E729" s="1"/>
      <c r="H729" s="6"/>
    </row>
    <row r="730" ht="14.25" customHeight="1">
      <c r="C730" s="6"/>
      <c r="E730" s="1"/>
      <c r="H730" s="6"/>
    </row>
    <row r="731" ht="14.25" customHeight="1">
      <c r="C731" s="6"/>
      <c r="E731" s="1"/>
      <c r="H731" s="6"/>
    </row>
    <row r="732" ht="14.25" customHeight="1">
      <c r="C732" s="6"/>
      <c r="E732" s="1"/>
      <c r="H732" s="6"/>
    </row>
    <row r="733" ht="14.25" customHeight="1">
      <c r="C733" s="6"/>
      <c r="E733" s="1"/>
      <c r="H733" s="6"/>
    </row>
    <row r="734" ht="14.25" customHeight="1">
      <c r="C734" s="6"/>
      <c r="E734" s="1"/>
      <c r="H734" s="6"/>
    </row>
    <row r="735" ht="14.25" customHeight="1">
      <c r="C735" s="6"/>
      <c r="E735" s="1"/>
      <c r="H735" s="6"/>
    </row>
    <row r="736" ht="14.25" customHeight="1">
      <c r="C736" s="6"/>
      <c r="E736" s="1"/>
      <c r="H736" s="6"/>
    </row>
    <row r="737" ht="14.25" customHeight="1">
      <c r="C737" s="6"/>
      <c r="E737" s="1"/>
      <c r="H737" s="6"/>
    </row>
    <row r="738" ht="14.25" customHeight="1">
      <c r="C738" s="6"/>
      <c r="E738" s="1"/>
      <c r="H738" s="6"/>
    </row>
    <row r="739" ht="14.25" customHeight="1">
      <c r="C739" s="6"/>
      <c r="E739" s="1"/>
      <c r="H739" s="6"/>
    </row>
    <row r="740" ht="14.25" customHeight="1">
      <c r="C740" s="6"/>
      <c r="E740" s="1"/>
      <c r="H740" s="6"/>
    </row>
    <row r="741" ht="14.25" customHeight="1">
      <c r="C741" s="6"/>
      <c r="E741" s="1"/>
      <c r="H741" s="6"/>
    </row>
    <row r="742" ht="14.25" customHeight="1">
      <c r="C742" s="6"/>
      <c r="E742" s="1"/>
      <c r="H742" s="6"/>
    </row>
    <row r="743" ht="14.25" customHeight="1">
      <c r="C743" s="6"/>
      <c r="E743" s="1"/>
      <c r="H743" s="6"/>
    </row>
    <row r="744" ht="14.25" customHeight="1">
      <c r="C744" s="6"/>
      <c r="E744" s="1"/>
      <c r="H744" s="6"/>
    </row>
    <row r="745" ht="14.25" customHeight="1">
      <c r="C745" s="6"/>
      <c r="E745" s="1"/>
      <c r="H745" s="6"/>
    </row>
    <row r="746" ht="14.25" customHeight="1">
      <c r="C746" s="6"/>
      <c r="E746" s="1"/>
      <c r="H746" s="6"/>
    </row>
    <row r="747" ht="14.25" customHeight="1">
      <c r="C747" s="6"/>
      <c r="E747" s="1"/>
      <c r="H747" s="6"/>
    </row>
    <row r="748" ht="14.25" customHeight="1">
      <c r="C748" s="6"/>
      <c r="E748" s="1"/>
      <c r="H748" s="6"/>
    </row>
    <row r="749" ht="14.25" customHeight="1">
      <c r="C749" s="6"/>
      <c r="E749" s="1"/>
      <c r="H749" s="6"/>
    </row>
    <row r="750" ht="14.25" customHeight="1">
      <c r="C750" s="6"/>
      <c r="E750" s="1"/>
      <c r="H750" s="6"/>
    </row>
    <row r="751" ht="14.25" customHeight="1">
      <c r="C751" s="6"/>
      <c r="E751" s="1"/>
      <c r="H751" s="6"/>
    </row>
    <row r="752" ht="14.25" customHeight="1">
      <c r="C752" s="6"/>
      <c r="E752" s="1"/>
      <c r="H752" s="6"/>
    </row>
    <row r="753" ht="14.25" customHeight="1">
      <c r="C753" s="6"/>
      <c r="E753" s="1"/>
      <c r="H753" s="6"/>
    </row>
    <row r="754" ht="14.25" customHeight="1">
      <c r="C754" s="6"/>
      <c r="E754" s="1"/>
      <c r="H754" s="6"/>
    </row>
    <row r="755" ht="14.25" customHeight="1">
      <c r="C755" s="6"/>
      <c r="E755" s="1"/>
      <c r="H755" s="6"/>
    </row>
    <row r="756" ht="14.25" customHeight="1">
      <c r="C756" s="6"/>
      <c r="E756" s="1"/>
      <c r="H756" s="6"/>
    </row>
    <row r="757" ht="14.25" customHeight="1">
      <c r="C757" s="6"/>
      <c r="E757" s="1"/>
      <c r="H757" s="6"/>
    </row>
    <row r="758" ht="14.25" customHeight="1">
      <c r="C758" s="6"/>
      <c r="E758" s="1"/>
      <c r="H758" s="6"/>
    </row>
    <row r="759" ht="14.25" customHeight="1">
      <c r="C759" s="6"/>
      <c r="E759" s="1"/>
      <c r="H759" s="6"/>
    </row>
    <row r="760" ht="14.25" customHeight="1">
      <c r="C760" s="6"/>
      <c r="E760" s="1"/>
      <c r="H760" s="6"/>
    </row>
    <row r="761" ht="14.25" customHeight="1">
      <c r="C761" s="6"/>
      <c r="E761" s="1"/>
      <c r="H761" s="6"/>
    </row>
    <row r="762" ht="14.25" customHeight="1">
      <c r="C762" s="6"/>
      <c r="E762" s="1"/>
      <c r="H762" s="6"/>
    </row>
    <row r="763" ht="14.25" customHeight="1">
      <c r="C763" s="6"/>
      <c r="E763" s="1"/>
      <c r="H763" s="6"/>
    </row>
    <row r="764" ht="14.25" customHeight="1">
      <c r="C764" s="6"/>
      <c r="E764" s="1"/>
      <c r="H764" s="6"/>
    </row>
    <row r="765" ht="14.25" customHeight="1">
      <c r="C765" s="6"/>
      <c r="E765" s="1"/>
      <c r="H765" s="6"/>
    </row>
    <row r="766" ht="14.25" customHeight="1">
      <c r="C766" s="6"/>
      <c r="E766" s="1"/>
      <c r="H766" s="6"/>
    </row>
    <row r="767" ht="14.25" customHeight="1">
      <c r="C767" s="6"/>
      <c r="E767" s="1"/>
      <c r="H767" s="6"/>
    </row>
    <row r="768" ht="14.25" customHeight="1">
      <c r="C768" s="6"/>
      <c r="E768" s="1"/>
      <c r="H768" s="6"/>
    </row>
    <row r="769" ht="14.25" customHeight="1">
      <c r="C769" s="6"/>
      <c r="E769" s="1"/>
      <c r="H769" s="6"/>
    </row>
    <row r="770" ht="14.25" customHeight="1">
      <c r="C770" s="6"/>
      <c r="E770" s="1"/>
      <c r="H770" s="6"/>
    </row>
    <row r="771" ht="14.25" customHeight="1">
      <c r="C771" s="6"/>
      <c r="E771" s="1"/>
      <c r="H771" s="6"/>
    </row>
    <row r="772" ht="14.25" customHeight="1">
      <c r="C772" s="6"/>
      <c r="E772" s="1"/>
      <c r="H772" s="6"/>
    </row>
    <row r="773" ht="14.25" customHeight="1">
      <c r="C773" s="6"/>
      <c r="E773" s="1"/>
      <c r="H773" s="6"/>
    </row>
    <row r="774" ht="14.25" customHeight="1">
      <c r="C774" s="6"/>
      <c r="E774" s="1"/>
      <c r="H774" s="6"/>
    </row>
    <row r="775" ht="14.25" customHeight="1">
      <c r="C775" s="6"/>
      <c r="E775" s="1"/>
      <c r="H775" s="6"/>
    </row>
    <row r="776" ht="14.25" customHeight="1">
      <c r="C776" s="6"/>
      <c r="E776" s="1"/>
      <c r="H776" s="6"/>
    </row>
    <row r="777" ht="14.25" customHeight="1">
      <c r="C777" s="6"/>
      <c r="E777" s="1"/>
      <c r="H777" s="6"/>
    </row>
    <row r="778" ht="14.25" customHeight="1">
      <c r="C778" s="6"/>
      <c r="E778" s="1"/>
      <c r="H778" s="6"/>
    </row>
    <row r="779" ht="14.25" customHeight="1">
      <c r="C779" s="6"/>
      <c r="E779" s="1"/>
      <c r="H779" s="6"/>
    </row>
    <row r="780" ht="14.25" customHeight="1">
      <c r="C780" s="6"/>
      <c r="E780" s="1"/>
      <c r="H780" s="6"/>
    </row>
    <row r="781" ht="14.25" customHeight="1">
      <c r="C781" s="6"/>
      <c r="E781" s="1"/>
      <c r="H781" s="6"/>
    </row>
    <row r="782" ht="14.25" customHeight="1">
      <c r="C782" s="6"/>
      <c r="E782" s="1"/>
      <c r="H782" s="6"/>
    </row>
    <row r="783" ht="14.25" customHeight="1">
      <c r="C783" s="6"/>
      <c r="E783" s="1"/>
      <c r="H783" s="6"/>
    </row>
    <row r="784" ht="14.25" customHeight="1">
      <c r="C784" s="6"/>
      <c r="E784" s="1"/>
      <c r="H784" s="6"/>
    </row>
    <row r="785" ht="14.25" customHeight="1">
      <c r="C785" s="6"/>
      <c r="E785" s="1"/>
      <c r="H785" s="6"/>
    </row>
    <row r="786" ht="14.25" customHeight="1">
      <c r="C786" s="6"/>
      <c r="E786" s="1"/>
      <c r="H786" s="6"/>
    </row>
    <row r="787" ht="14.25" customHeight="1">
      <c r="C787" s="6"/>
      <c r="E787" s="1"/>
      <c r="H787" s="6"/>
    </row>
    <row r="788" ht="14.25" customHeight="1">
      <c r="C788" s="6"/>
      <c r="E788" s="1"/>
      <c r="H788" s="6"/>
    </row>
    <row r="789" ht="14.25" customHeight="1">
      <c r="C789" s="6"/>
      <c r="E789" s="1"/>
      <c r="H789" s="6"/>
    </row>
    <row r="790" ht="14.25" customHeight="1">
      <c r="C790" s="6"/>
      <c r="E790" s="1"/>
      <c r="H790" s="6"/>
    </row>
    <row r="791" ht="14.25" customHeight="1">
      <c r="C791" s="6"/>
      <c r="E791" s="1"/>
      <c r="H791" s="6"/>
    </row>
    <row r="792" ht="14.25" customHeight="1">
      <c r="C792" s="6"/>
      <c r="E792" s="1"/>
      <c r="H792" s="6"/>
    </row>
    <row r="793" ht="14.25" customHeight="1">
      <c r="C793" s="6"/>
      <c r="E793" s="1"/>
      <c r="H793" s="6"/>
    </row>
    <row r="794" ht="14.25" customHeight="1">
      <c r="C794" s="6"/>
      <c r="E794" s="1"/>
      <c r="H794" s="6"/>
    </row>
    <row r="795" ht="14.25" customHeight="1">
      <c r="C795" s="6"/>
      <c r="E795" s="1"/>
      <c r="H795" s="6"/>
    </row>
    <row r="796" ht="14.25" customHeight="1">
      <c r="C796" s="6"/>
      <c r="E796" s="1"/>
      <c r="H796" s="6"/>
    </row>
    <row r="797" ht="14.25" customHeight="1">
      <c r="C797" s="6"/>
      <c r="E797" s="1"/>
      <c r="H797" s="6"/>
    </row>
    <row r="798" ht="14.25" customHeight="1">
      <c r="C798" s="6"/>
      <c r="E798" s="1"/>
      <c r="H798" s="6"/>
    </row>
    <row r="799" ht="14.25" customHeight="1">
      <c r="C799" s="6"/>
      <c r="E799" s="1"/>
      <c r="H799" s="6"/>
    </row>
    <row r="800" ht="14.25" customHeight="1">
      <c r="C800" s="6"/>
      <c r="E800" s="1"/>
      <c r="H800" s="6"/>
    </row>
    <row r="801" ht="14.25" customHeight="1">
      <c r="C801" s="6"/>
      <c r="E801" s="1"/>
      <c r="H801" s="6"/>
    </row>
    <row r="802" ht="14.25" customHeight="1">
      <c r="C802" s="6"/>
      <c r="E802" s="1"/>
      <c r="H802" s="6"/>
    </row>
    <row r="803" ht="14.25" customHeight="1">
      <c r="C803" s="6"/>
      <c r="E803" s="1"/>
      <c r="H803" s="6"/>
    </row>
    <row r="804" ht="14.25" customHeight="1">
      <c r="C804" s="6"/>
      <c r="E804" s="1"/>
      <c r="H804" s="6"/>
    </row>
    <row r="805" ht="14.25" customHeight="1">
      <c r="C805" s="6"/>
      <c r="E805" s="1"/>
      <c r="H805" s="6"/>
    </row>
    <row r="806" ht="14.25" customHeight="1">
      <c r="C806" s="6"/>
      <c r="E806" s="1"/>
      <c r="H806" s="6"/>
    </row>
    <row r="807" ht="14.25" customHeight="1">
      <c r="C807" s="6"/>
      <c r="E807" s="1"/>
      <c r="H807" s="6"/>
    </row>
    <row r="808" ht="14.25" customHeight="1">
      <c r="C808" s="6"/>
      <c r="E808" s="1"/>
      <c r="H808" s="6"/>
    </row>
    <row r="809" ht="14.25" customHeight="1">
      <c r="C809" s="6"/>
      <c r="E809" s="1"/>
      <c r="H809" s="6"/>
    </row>
    <row r="810" ht="14.25" customHeight="1">
      <c r="C810" s="6"/>
      <c r="E810" s="1"/>
      <c r="H810" s="6"/>
    </row>
    <row r="811" ht="14.25" customHeight="1">
      <c r="C811" s="6"/>
      <c r="E811" s="1"/>
      <c r="H811" s="6"/>
    </row>
    <row r="812" ht="14.25" customHeight="1">
      <c r="C812" s="6"/>
      <c r="E812" s="1"/>
      <c r="H812" s="6"/>
    </row>
    <row r="813" ht="14.25" customHeight="1">
      <c r="C813" s="6"/>
      <c r="E813" s="1"/>
      <c r="H813" s="6"/>
    </row>
    <row r="814" ht="14.25" customHeight="1">
      <c r="C814" s="6"/>
      <c r="E814" s="1"/>
      <c r="H814" s="6"/>
    </row>
    <row r="815" ht="14.25" customHeight="1">
      <c r="C815" s="6"/>
      <c r="E815" s="1"/>
      <c r="H815" s="6"/>
    </row>
    <row r="816" ht="14.25" customHeight="1">
      <c r="C816" s="6"/>
      <c r="E816" s="1"/>
      <c r="H816" s="6"/>
    </row>
    <row r="817" ht="14.25" customHeight="1">
      <c r="C817" s="6"/>
      <c r="E817" s="1"/>
      <c r="H817" s="6"/>
    </row>
    <row r="818" ht="14.25" customHeight="1">
      <c r="C818" s="6"/>
      <c r="E818" s="1"/>
      <c r="H818" s="6"/>
    </row>
    <row r="819" ht="14.25" customHeight="1">
      <c r="C819" s="6"/>
      <c r="E819" s="1"/>
      <c r="H819" s="6"/>
    </row>
    <row r="820" ht="14.25" customHeight="1">
      <c r="C820" s="6"/>
      <c r="E820" s="1"/>
      <c r="H820" s="6"/>
    </row>
    <row r="821" ht="14.25" customHeight="1">
      <c r="C821" s="6"/>
      <c r="E821" s="1"/>
      <c r="H821" s="6"/>
    </row>
    <row r="822" ht="14.25" customHeight="1">
      <c r="C822" s="6"/>
      <c r="E822" s="1"/>
      <c r="H822" s="6"/>
    </row>
    <row r="823" ht="14.25" customHeight="1">
      <c r="C823" s="6"/>
      <c r="E823" s="1"/>
      <c r="H823" s="6"/>
    </row>
    <row r="824" ht="14.25" customHeight="1">
      <c r="C824" s="6"/>
      <c r="E824" s="1"/>
      <c r="H824" s="6"/>
    </row>
    <row r="825" ht="14.25" customHeight="1">
      <c r="C825" s="6"/>
      <c r="E825" s="1"/>
      <c r="H825" s="6"/>
    </row>
    <row r="826" ht="14.25" customHeight="1">
      <c r="C826" s="6"/>
      <c r="E826" s="1"/>
      <c r="H826" s="6"/>
    </row>
    <row r="827" ht="14.25" customHeight="1">
      <c r="C827" s="6"/>
      <c r="E827" s="1"/>
      <c r="H827" s="6"/>
    </row>
    <row r="828" ht="14.25" customHeight="1">
      <c r="C828" s="6"/>
      <c r="E828" s="1"/>
      <c r="H828" s="6"/>
    </row>
    <row r="829" ht="14.25" customHeight="1">
      <c r="C829" s="6"/>
      <c r="E829" s="1"/>
      <c r="H829" s="6"/>
    </row>
    <row r="830" ht="14.25" customHeight="1">
      <c r="C830" s="6"/>
      <c r="E830" s="1"/>
      <c r="H830" s="6"/>
    </row>
    <row r="831" ht="14.25" customHeight="1">
      <c r="C831" s="6"/>
      <c r="E831" s="1"/>
      <c r="H831" s="6"/>
    </row>
    <row r="832" ht="14.25" customHeight="1">
      <c r="C832" s="6"/>
      <c r="E832" s="1"/>
      <c r="H832" s="6"/>
    </row>
    <row r="833" ht="14.25" customHeight="1">
      <c r="C833" s="6"/>
      <c r="E833" s="1"/>
      <c r="H833" s="6"/>
    </row>
    <row r="834" ht="14.25" customHeight="1">
      <c r="C834" s="6"/>
      <c r="E834" s="1"/>
      <c r="H834" s="6"/>
    </row>
    <row r="835" ht="14.25" customHeight="1">
      <c r="C835" s="6"/>
      <c r="E835" s="1"/>
      <c r="H835" s="6"/>
    </row>
    <row r="836" ht="14.25" customHeight="1">
      <c r="C836" s="6"/>
      <c r="E836" s="1"/>
      <c r="H836" s="6"/>
    </row>
    <row r="837" ht="14.25" customHeight="1">
      <c r="C837" s="6"/>
      <c r="E837" s="1"/>
      <c r="H837" s="6"/>
    </row>
    <row r="838" ht="14.25" customHeight="1">
      <c r="C838" s="6"/>
      <c r="E838" s="1"/>
      <c r="H838" s="6"/>
    </row>
    <row r="839" ht="14.25" customHeight="1">
      <c r="C839" s="6"/>
      <c r="E839" s="1"/>
      <c r="H839" s="6"/>
    </row>
    <row r="840" ht="14.25" customHeight="1">
      <c r="C840" s="6"/>
      <c r="E840" s="1"/>
      <c r="H840" s="6"/>
    </row>
    <row r="841" ht="14.25" customHeight="1">
      <c r="C841" s="6"/>
      <c r="E841" s="1"/>
      <c r="H841" s="6"/>
    </row>
    <row r="842" ht="14.25" customHeight="1">
      <c r="C842" s="6"/>
      <c r="E842" s="1"/>
      <c r="H842" s="6"/>
    </row>
    <row r="843" ht="14.25" customHeight="1">
      <c r="C843" s="6"/>
      <c r="E843" s="1"/>
      <c r="H843" s="6"/>
    </row>
    <row r="844" ht="14.25" customHeight="1">
      <c r="C844" s="6"/>
      <c r="E844" s="1"/>
      <c r="H844" s="6"/>
    </row>
    <row r="845" ht="14.25" customHeight="1">
      <c r="C845" s="6"/>
      <c r="E845" s="1"/>
      <c r="H845" s="6"/>
    </row>
    <row r="846" ht="14.25" customHeight="1">
      <c r="C846" s="6"/>
      <c r="E846" s="1"/>
      <c r="H846" s="6"/>
    </row>
    <row r="847" ht="14.25" customHeight="1">
      <c r="C847" s="6"/>
      <c r="E847" s="1"/>
      <c r="H847" s="6"/>
    </row>
    <row r="848" ht="14.25" customHeight="1">
      <c r="C848" s="6"/>
      <c r="E848" s="1"/>
      <c r="H848" s="6"/>
    </row>
    <row r="849" ht="14.25" customHeight="1">
      <c r="C849" s="6"/>
      <c r="E849" s="1"/>
      <c r="H849" s="6"/>
    </row>
    <row r="850" ht="14.25" customHeight="1">
      <c r="C850" s="6"/>
      <c r="E850" s="1"/>
      <c r="H850" s="6"/>
    </row>
    <row r="851" ht="14.25" customHeight="1">
      <c r="C851" s="6"/>
      <c r="E851" s="1"/>
      <c r="H851" s="6"/>
    </row>
    <row r="852" ht="14.25" customHeight="1">
      <c r="C852" s="6"/>
      <c r="E852" s="1"/>
      <c r="H852" s="6"/>
    </row>
    <row r="853" ht="14.25" customHeight="1">
      <c r="C853" s="6"/>
      <c r="E853" s="1"/>
      <c r="H853" s="6"/>
    </row>
    <row r="854" ht="14.25" customHeight="1">
      <c r="C854" s="6"/>
      <c r="E854" s="1"/>
      <c r="H854" s="6"/>
    </row>
    <row r="855" ht="14.25" customHeight="1">
      <c r="C855" s="6"/>
      <c r="E855" s="1"/>
      <c r="H855" s="6"/>
    </row>
    <row r="856" ht="14.25" customHeight="1">
      <c r="C856" s="6"/>
      <c r="E856" s="1"/>
      <c r="H856" s="6"/>
    </row>
    <row r="857" ht="14.25" customHeight="1">
      <c r="C857" s="6"/>
      <c r="E857" s="1"/>
      <c r="H857" s="6"/>
    </row>
    <row r="858" ht="14.25" customHeight="1">
      <c r="C858" s="6"/>
      <c r="E858" s="1"/>
      <c r="H858" s="6"/>
    </row>
    <row r="859" ht="14.25" customHeight="1">
      <c r="C859" s="6"/>
      <c r="E859" s="1"/>
      <c r="H859" s="6"/>
    </row>
    <row r="860" ht="14.25" customHeight="1">
      <c r="C860" s="6"/>
      <c r="E860" s="1"/>
      <c r="H860" s="6"/>
    </row>
    <row r="861" ht="14.25" customHeight="1">
      <c r="C861" s="6"/>
      <c r="E861" s="1"/>
      <c r="H861" s="6"/>
    </row>
    <row r="862" ht="14.25" customHeight="1">
      <c r="C862" s="6"/>
      <c r="E862" s="1"/>
      <c r="H862" s="6"/>
    </row>
    <row r="863" ht="14.25" customHeight="1">
      <c r="C863" s="6"/>
      <c r="E863" s="1"/>
      <c r="H863" s="6"/>
    </row>
    <row r="864" ht="14.25" customHeight="1">
      <c r="C864" s="6"/>
      <c r="E864" s="1"/>
      <c r="H864" s="6"/>
    </row>
    <row r="865" ht="14.25" customHeight="1">
      <c r="C865" s="6"/>
      <c r="E865" s="1"/>
      <c r="H865" s="6"/>
    </row>
    <row r="866" ht="14.25" customHeight="1">
      <c r="C866" s="6"/>
      <c r="E866" s="1"/>
      <c r="H866" s="6"/>
    </row>
    <row r="867" ht="14.25" customHeight="1">
      <c r="C867" s="6"/>
      <c r="E867" s="1"/>
      <c r="H867" s="6"/>
    </row>
    <row r="868" ht="14.25" customHeight="1">
      <c r="C868" s="6"/>
      <c r="E868" s="1"/>
      <c r="H868" s="6"/>
    </row>
    <row r="869" ht="14.25" customHeight="1">
      <c r="C869" s="6"/>
      <c r="E869" s="1"/>
      <c r="H869" s="6"/>
    </row>
    <row r="870" ht="14.25" customHeight="1">
      <c r="C870" s="6"/>
      <c r="E870" s="1"/>
      <c r="H870" s="6"/>
    </row>
    <row r="871" ht="14.25" customHeight="1">
      <c r="C871" s="6"/>
      <c r="E871" s="1"/>
      <c r="H871" s="6"/>
    </row>
    <row r="872" ht="14.25" customHeight="1">
      <c r="C872" s="6"/>
      <c r="E872" s="1"/>
      <c r="H872" s="6"/>
    </row>
    <row r="873" ht="14.25" customHeight="1">
      <c r="C873" s="6"/>
      <c r="E873" s="1"/>
      <c r="H873" s="6"/>
    </row>
    <row r="874" ht="14.25" customHeight="1">
      <c r="C874" s="6"/>
      <c r="E874" s="1"/>
      <c r="H874" s="6"/>
    </row>
    <row r="875" ht="14.25" customHeight="1">
      <c r="C875" s="6"/>
      <c r="E875" s="1"/>
      <c r="H875" s="6"/>
    </row>
    <row r="876" ht="14.25" customHeight="1">
      <c r="C876" s="6"/>
      <c r="E876" s="1"/>
      <c r="H876" s="6"/>
    </row>
    <row r="877" ht="14.25" customHeight="1">
      <c r="C877" s="6"/>
      <c r="E877" s="1"/>
      <c r="H877" s="6"/>
    </row>
    <row r="878" ht="14.25" customHeight="1">
      <c r="C878" s="6"/>
      <c r="E878" s="1"/>
      <c r="H878" s="6"/>
    </row>
    <row r="879" ht="14.25" customHeight="1">
      <c r="C879" s="6"/>
      <c r="E879" s="1"/>
      <c r="H879" s="6"/>
    </row>
    <row r="880" ht="14.25" customHeight="1">
      <c r="C880" s="6"/>
      <c r="E880" s="1"/>
      <c r="H880" s="6"/>
    </row>
    <row r="881" ht="14.25" customHeight="1">
      <c r="C881" s="6"/>
      <c r="E881" s="1"/>
      <c r="H881" s="6"/>
    </row>
    <row r="882" ht="14.25" customHeight="1">
      <c r="C882" s="6"/>
      <c r="E882" s="1"/>
      <c r="H882" s="6"/>
    </row>
    <row r="883" ht="14.25" customHeight="1">
      <c r="C883" s="6"/>
      <c r="E883" s="1"/>
      <c r="H883" s="6"/>
    </row>
    <row r="884" ht="14.25" customHeight="1">
      <c r="C884" s="6"/>
      <c r="E884" s="1"/>
      <c r="H884" s="6"/>
    </row>
    <row r="885" ht="14.25" customHeight="1">
      <c r="C885" s="6"/>
      <c r="E885" s="1"/>
      <c r="H885" s="6"/>
    </row>
    <row r="886" ht="14.25" customHeight="1">
      <c r="C886" s="6"/>
      <c r="E886" s="1"/>
      <c r="H886" s="6"/>
    </row>
    <row r="887" ht="14.25" customHeight="1">
      <c r="C887" s="6"/>
      <c r="E887" s="1"/>
      <c r="H887" s="6"/>
    </row>
    <row r="888" ht="14.25" customHeight="1">
      <c r="C888" s="6"/>
      <c r="E888" s="1"/>
      <c r="H888" s="6"/>
    </row>
    <row r="889" ht="14.25" customHeight="1">
      <c r="C889" s="6"/>
      <c r="E889" s="1"/>
      <c r="H889" s="6"/>
    </row>
    <row r="890" ht="14.25" customHeight="1">
      <c r="C890" s="6"/>
      <c r="E890" s="1"/>
      <c r="H890" s="6"/>
    </row>
    <row r="891" ht="14.25" customHeight="1">
      <c r="C891" s="6"/>
      <c r="E891" s="1"/>
      <c r="H891" s="6"/>
    </row>
    <row r="892" ht="14.25" customHeight="1">
      <c r="C892" s="6"/>
      <c r="E892" s="1"/>
      <c r="H892" s="6"/>
    </row>
    <row r="893" ht="14.25" customHeight="1">
      <c r="C893" s="6"/>
      <c r="E893" s="1"/>
      <c r="H893" s="6"/>
    </row>
    <row r="894" ht="14.25" customHeight="1">
      <c r="C894" s="6"/>
      <c r="E894" s="1"/>
      <c r="H894" s="6"/>
    </row>
    <row r="895" ht="14.25" customHeight="1">
      <c r="C895" s="6"/>
      <c r="E895" s="1"/>
      <c r="H895" s="6"/>
    </row>
    <row r="896" ht="14.25" customHeight="1">
      <c r="C896" s="6"/>
      <c r="E896" s="1"/>
      <c r="H896" s="6"/>
    </row>
    <row r="897" ht="14.25" customHeight="1">
      <c r="C897" s="6"/>
      <c r="E897" s="1"/>
      <c r="H897" s="6"/>
    </row>
    <row r="898" ht="14.25" customHeight="1">
      <c r="C898" s="6"/>
      <c r="E898" s="1"/>
      <c r="H898" s="6"/>
    </row>
    <row r="899" ht="14.25" customHeight="1">
      <c r="C899" s="6"/>
      <c r="E899" s="1"/>
      <c r="H899" s="6"/>
    </row>
    <row r="900" ht="14.25" customHeight="1">
      <c r="C900" s="6"/>
      <c r="E900" s="1"/>
      <c r="H900" s="6"/>
    </row>
    <row r="901" ht="14.25" customHeight="1">
      <c r="C901" s="6"/>
      <c r="E901" s="1"/>
      <c r="H901" s="6"/>
    </row>
    <row r="902" ht="14.25" customHeight="1">
      <c r="C902" s="6"/>
      <c r="E902" s="1"/>
      <c r="H902" s="6"/>
    </row>
    <row r="903" ht="14.25" customHeight="1">
      <c r="C903" s="6"/>
      <c r="E903" s="1"/>
      <c r="H903" s="6"/>
    </row>
    <row r="904" ht="14.25" customHeight="1">
      <c r="C904" s="6"/>
      <c r="E904" s="1"/>
      <c r="H904" s="6"/>
    </row>
    <row r="905" ht="14.25" customHeight="1">
      <c r="C905" s="6"/>
      <c r="E905" s="1"/>
      <c r="H905" s="6"/>
    </row>
    <row r="906" ht="14.25" customHeight="1">
      <c r="C906" s="6"/>
      <c r="E906" s="1"/>
      <c r="H906" s="6"/>
    </row>
    <row r="907" ht="14.25" customHeight="1">
      <c r="C907" s="6"/>
      <c r="E907" s="1"/>
      <c r="H907" s="6"/>
    </row>
    <row r="908" ht="14.25" customHeight="1">
      <c r="C908" s="6"/>
      <c r="E908" s="1"/>
      <c r="H908" s="6"/>
    </row>
    <row r="909" ht="14.25" customHeight="1">
      <c r="C909" s="6"/>
      <c r="E909" s="1"/>
      <c r="H909" s="6"/>
    </row>
    <row r="910" ht="14.25" customHeight="1">
      <c r="C910" s="6"/>
      <c r="E910" s="1"/>
      <c r="H910" s="6"/>
    </row>
    <row r="911" ht="14.25" customHeight="1">
      <c r="C911" s="6"/>
      <c r="E911" s="1"/>
      <c r="H911" s="6"/>
    </row>
    <row r="912" ht="14.25" customHeight="1">
      <c r="C912" s="6"/>
      <c r="E912" s="1"/>
      <c r="H912" s="6"/>
    </row>
    <row r="913" ht="14.25" customHeight="1">
      <c r="C913" s="6"/>
      <c r="E913" s="1"/>
      <c r="H913" s="6"/>
    </row>
    <row r="914" ht="14.25" customHeight="1">
      <c r="C914" s="6"/>
      <c r="E914" s="1"/>
      <c r="H914" s="6"/>
    </row>
    <row r="915" ht="14.25" customHeight="1">
      <c r="C915" s="6"/>
      <c r="E915" s="1"/>
      <c r="H915" s="6"/>
    </row>
    <row r="916" ht="14.25" customHeight="1">
      <c r="C916" s="6"/>
      <c r="E916" s="1"/>
      <c r="H916" s="6"/>
    </row>
    <row r="917" ht="14.25" customHeight="1">
      <c r="C917" s="6"/>
      <c r="E917" s="1"/>
      <c r="H917" s="6"/>
    </row>
    <row r="918" ht="14.25" customHeight="1">
      <c r="C918" s="6"/>
      <c r="E918" s="1"/>
      <c r="H918" s="6"/>
    </row>
    <row r="919" ht="14.25" customHeight="1">
      <c r="C919" s="6"/>
      <c r="E919" s="1"/>
      <c r="H919" s="6"/>
    </row>
    <row r="920" ht="14.25" customHeight="1">
      <c r="C920" s="6"/>
      <c r="E920" s="1"/>
      <c r="H920" s="6"/>
    </row>
    <row r="921" ht="14.25" customHeight="1">
      <c r="C921" s="6"/>
      <c r="E921" s="1"/>
      <c r="H921" s="6"/>
    </row>
    <row r="922" ht="14.25" customHeight="1">
      <c r="C922" s="6"/>
      <c r="E922" s="1"/>
      <c r="H922" s="6"/>
    </row>
    <row r="923" ht="14.25" customHeight="1">
      <c r="C923" s="6"/>
      <c r="E923" s="1"/>
      <c r="H923" s="6"/>
    </row>
    <row r="924" ht="14.25" customHeight="1">
      <c r="C924" s="6"/>
      <c r="E924" s="1"/>
      <c r="H924" s="6"/>
    </row>
    <row r="925" ht="14.25" customHeight="1">
      <c r="C925" s="6"/>
      <c r="E925" s="1"/>
      <c r="H925" s="6"/>
    </row>
    <row r="926" ht="14.25" customHeight="1">
      <c r="C926" s="6"/>
      <c r="E926" s="1"/>
      <c r="H926" s="6"/>
    </row>
    <row r="927" ht="14.25" customHeight="1">
      <c r="C927" s="6"/>
      <c r="E927" s="1"/>
      <c r="H927" s="6"/>
    </row>
    <row r="928" ht="14.25" customHeight="1">
      <c r="C928" s="6"/>
      <c r="E928" s="1"/>
      <c r="H928" s="6"/>
    </row>
    <row r="929" ht="14.25" customHeight="1">
      <c r="C929" s="6"/>
      <c r="E929" s="1"/>
      <c r="H929" s="6"/>
    </row>
    <row r="930" ht="14.25" customHeight="1">
      <c r="C930" s="6"/>
      <c r="E930" s="1"/>
      <c r="H930" s="6"/>
    </row>
    <row r="931" ht="14.25" customHeight="1">
      <c r="C931" s="6"/>
      <c r="E931" s="1"/>
      <c r="H931" s="6"/>
    </row>
    <row r="932" ht="14.25" customHeight="1">
      <c r="C932" s="6"/>
      <c r="E932" s="1"/>
      <c r="H932" s="6"/>
    </row>
    <row r="933" ht="14.25" customHeight="1">
      <c r="C933" s="6"/>
      <c r="E933" s="1"/>
      <c r="H933" s="6"/>
    </row>
    <row r="934" ht="14.25" customHeight="1">
      <c r="C934" s="6"/>
      <c r="E934" s="1"/>
      <c r="H934" s="6"/>
    </row>
    <row r="935" ht="14.25" customHeight="1">
      <c r="C935" s="6"/>
      <c r="E935" s="1"/>
      <c r="H935" s="6"/>
    </row>
    <row r="936" ht="14.25" customHeight="1">
      <c r="C936" s="6"/>
      <c r="E936" s="1"/>
      <c r="H936" s="6"/>
    </row>
    <row r="937" ht="14.25" customHeight="1">
      <c r="C937" s="6"/>
      <c r="E937" s="1"/>
      <c r="H937" s="6"/>
    </row>
    <row r="938" ht="14.25" customHeight="1">
      <c r="C938" s="6"/>
      <c r="E938" s="1"/>
      <c r="H938" s="6"/>
    </row>
    <row r="939" ht="14.25" customHeight="1">
      <c r="C939" s="6"/>
      <c r="E939" s="1"/>
      <c r="H939" s="6"/>
    </row>
    <row r="940" ht="14.25" customHeight="1">
      <c r="C940" s="6"/>
      <c r="E940" s="1"/>
      <c r="H940" s="6"/>
    </row>
    <row r="941" ht="14.25" customHeight="1">
      <c r="C941" s="6"/>
      <c r="E941" s="1"/>
      <c r="H941" s="6"/>
    </row>
    <row r="942" ht="14.25" customHeight="1">
      <c r="C942" s="6"/>
      <c r="E942" s="1"/>
      <c r="H942" s="6"/>
    </row>
    <row r="943" ht="14.25" customHeight="1">
      <c r="C943" s="6"/>
      <c r="E943" s="1"/>
      <c r="H943" s="6"/>
    </row>
    <row r="944" ht="14.25" customHeight="1">
      <c r="C944" s="6"/>
      <c r="E944" s="1"/>
      <c r="H944" s="6"/>
    </row>
    <row r="945" ht="14.25" customHeight="1">
      <c r="C945" s="6"/>
      <c r="E945" s="1"/>
      <c r="H945" s="6"/>
    </row>
    <row r="946" ht="14.25" customHeight="1">
      <c r="C946" s="6"/>
      <c r="E946" s="1"/>
      <c r="H946" s="6"/>
    </row>
    <row r="947" ht="14.25" customHeight="1">
      <c r="C947" s="6"/>
      <c r="E947" s="1"/>
      <c r="H947" s="6"/>
    </row>
    <row r="948" ht="14.25" customHeight="1">
      <c r="C948" s="6"/>
      <c r="E948" s="1"/>
      <c r="H948" s="6"/>
    </row>
    <row r="949" ht="14.25" customHeight="1">
      <c r="C949" s="6"/>
      <c r="E949" s="1"/>
      <c r="H949" s="6"/>
    </row>
    <row r="950" ht="14.25" customHeight="1">
      <c r="C950" s="6"/>
      <c r="E950" s="1"/>
      <c r="H950" s="6"/>
    </row>
    <row r="951" ht="14.25" customHeight="1">
      <c r="C951" s="6"/>
      <c r="E951" s="1"/>
      <c r="H951" s="6"/>
    </row>
    <row r="952" ht="14.25" customHeight="1">
      <c r="C952" s="6"/>
      <c r="E952" s="1"/>
      <c r="H952" s="6"/>
    </row>
    <row r="953" ht="14.25" customHeight="1">
      <c r="C953" s="6"/>
      <c r="E953" s="1"/>
      <c r="H953" s="6"/>
    </row>
    <row r="954" ht="14.25" customHeight="1">
      <c r="C954" s="6"/>
      <c r="E954" s="1"/>
      <c r="H954" s="6"/>
    </row>
    <row r="955" ht="14.25" customHeight="1">
      <c r="C955" s="6"/>
      <c r="E955" s="1"/>
      <c r="H955" s="6"/>
    </row>
    <row r="956" ht="14.25" customHeight="1">
      <c r="C956" s="6"/>
      <c r="E956" s="1"/>
      <c r="H956" s="6"/>
    </row>
    <row r="957" ht="14.25" customHeight="1">
      <c r="C957" s="6"/>
      <c r="E957" s="1"/>
      <c r="H957" s="6"/>
    </row>
    <row r="958" ht="14.25" customHeight="1">
      <c r="C958" s="6"/>
      <c r="E958" s="1"/>
      <c r="H958" s="6"/>
    </row>
    <row r="959" ht="14.25" customHeight="1">
      <c r="C959" s="6"/>
      <c r="E959" s="1"/>
      <c r="H959" s="6"/>
    </row>
    <row r="960" ht="14.25" customHeight="1">
      <c r="C960" s="6"/>
      <c r="E960" s="1"/>
      <c r="H960" s="6"/>
    </row>
    <row r="961" ht="14.25" customHeight="1">
      <c r="C961" s="6"/>
      <c r="E961" s="1"/>
      <c r="H961" s="6"/>
    </row>
    <row r="962" ht="14.25" customHeight="1">
      <c r="C962" s="6"/>
      <c r="E962" s="1"/>
      <c r="H962" s="6"/>
    </row>
    <row r="963" ht="14.25" customHeight="1">
      <c r="C963" s="6"/>
      <c r="E963" s="1"/>
      <c r="H963" s="6"/>
    </row>
    <row r="964" ht="14.25" customHeight="1">
      <c r="C964" s="6"/>
      <c r="E964" s="1"/>
      <c r="H964" s="6"/>
    </row>
    <row r="965" ht="14.25" customHeight="1">
      <c r="C965" s="6"/>
      <c r="E965" s="1"/>
      <c r="H965" s="6"/>
    </row>
    <row r="966" ht="14.25" customHeight="1">
      <c r="C966" s="6"/>
      <c r="E966" s="1"/>
      <c r="H966" s="6"/>
    </row>
    <row r="967" ht="14.25" customHeight="1">
      <c r="C967" s="6"/>
      <c r="E967" s="1"/>
      <c r="H967" s="6"/>
    </row>
    <row r="968" ht="14.25" customHeight="1">
      <c r="C968" s="6"/>
      <c r="E968" s="1"/>
      <c r="H968" s="6"/>
    </row>
    <row r="969" ht="14.25" customHeight="1">
      <c r="C969" s="6"/>
      <c r="E969" s="1"/>
      <c r="H969" s="6"/>
    </row>
    <row r="970" ht="14.25" customHeight="1">
      <c r="C970" s="6"/>
      <c r="E970" s="1"/>
      <c r="H970" s="6"/>
    </row>
    <row r="971" ht="14.25" customHeight="1">
      <c r="C971" s="6"/>
      <c r="E971" s="1"/>
      <c r="H971" s="6"/>
    </row>
    <row r="972" ht="14.25" customHeight="1">
      <c r="C972" s="6"/>
      <c r="E972" s="1"/>
      <c r="H972" s="6"/>
    </row>
    <row r="973" ht="14.25" customHeight="1">
      <c r="C973" s="6"/>
      <c r="E973" s="1"/>
      <c r="H973" s="6"/>
    </row>
    <row r="974" ht="14.25" customHeight="1">
      <c r="C974" s="6"/>
      <c r="E974" s="1"/>
      <c r="H974" s="6"/>
    </row>
    <row r="975" ht="14.25" customHeight="1">
      <c r="C975" s="6"/>
      <c r="E975" s="1"/>
      <c r="H975" s="6"/>
    </row>
    <row r="976" ht="14.25" customHeight="1">
      <c r="C976" s="6"/>
      <c r="E976" s="1"/>
      <c r="H976" s="6"/>
    </row>
    <row r="977" ht="14.25" customHeight="1">
      <c r="C977" s="6"/>
      <c r="E977" s="1"/>
      <c r="H977" s="6"/>
    </row>
    <row r="978" ht="14.25" customHeight="1">
      <c r="C978" s="6"/>
      <c r="E978" s="1"/>
      <c r="H978" s="6"/>
    </row>
    <row r="979" ht="14.25" customHeight="1">
      <c r="C979" s="6"/>
      <c r="E979" s="1"/>
      <c r="H979" s="6"/>
    </row>
    <row r="980" ht="14.25" customHeight="1">
      <c r="C980" s="6"/>
      <c r="E980" s="1"/>
      <c r="H980" s="6"/>
    </row>
    <row r="981" ht="14.25" customHeight="1">
      <c r="C981" s="6"/>
      <c r="E981" s="1"/>
      <c r="H981" s="6"/>
    </row>
    <row r="982" ht="14.25" customHeight="1">
      <c r="C982" s="6"/>
      <c r="E982" s="1"/>
      <c r="H982" s="6"/>
    </row>
    <row r="983" ht="14.25" customHeight="1">
      <c r="C983" s="6"/>
      <c r="E983" s="1"/>
      <c r="H983" s="6"/>
    </row>
    <row r="984" ht="14.25" customHeight="1">
      <c r="C984" s="6"/>
      <c r="E984" s="1"/>
      <c r="H984" s="6"/>
    </row>
    <row r="985" ht="14.25" customHeight="1">
      <c r="C985" s="6"/>
      <c r="E985" s="1"/>
      <c r="H985" s="6"/>
    </row>
    <row r="986" ht="14.25" customHeight="1">
      <c r="C986" s="6"/>
      <c r="E986" s="1"/>
      <c r="H986" s="6"/>
    </row>
    <row r="987" ht="14.25" customHeight="1">
      <c r="C987" s="6"/>
      <c r="E987" s="1"/>
      <c r="H987" s="6"/>
    </row>
    <row r="988" ht="14.25" customHeight="1">
      <c r="C988" s="6"/>
      <c r="E988" s="1"/>
      <c r="H988" s="6"/>
    </row>
    <row r="989" ht="14.25" customHeight="1">
      <c r="C989" s="6"/>
      <c r="E989" s="1"/>
      <c r="H989" s="6"/>
    </row>
    <row r="990" ht="14.25" customHeight="1">
      <c r="C990" s="6"/>
      <c r="E990" s="1"/>
      <c r="H990" s="6"/>
    </row>
    <row r="991" ht="14.25" customHeight="1">
      <c r="C991" s="6"/>
      <c r="E991" s="1"/>
      <c r="H991" s="6"/>
    </row>
    <row r="992" ht="14.25" customHeight="1">
      <c r="C992" s="6"/>
      <c r="E992" s="1"/>
      <c r="H992" s="6"/>
    </row>
    <row r="993" ht="14.25" customHeight="1">
      <c r="C993" s="6"/>
      <c r="E993" s="1"/>
      <c r="H993" s="6"/>
    </row>
    <row r="994" ht="14.25" customHeight="1">
      <c r="C994" s="6"/>
      <c r="E994" s="1"/>
      <c r="H994" s="6"/>
    </row>
    <row r="995" ht="14.25" customHeight="1">
      <c r="C995" s="6"/>
      <c r="E995" s="1"/>
      <c r="H995" s="6"/>
    </row>
    <row r="996" ht="14.25" customHeight="1">
      <c r="C996" s="6"/>
      <c r="E996" s="1"/>
      <c r="H996" s="6"/>
    </row>
    <row r="997" ht="14.25" customHeight="1">
      <c r="C997" s="6"/>
      <c r="E997" s="1"/>
      <c r="H997" s="6"/>
    </row>
    <row r="998" ht="14.25" customHeight="1">
      <c r="C998" s="6"/>
      <c r="E998" s="1"/>
      <c r="H998" s="6"/>
    </row>
    <row r="999" ht="14.25" customHeight="1">
      <c r="C999" s="6"/>
      <c r="E999" s="1"/>
      <c r="H999" s="6"/>
    </row>
    <row r="1000" ht="14.25" customHeight="1">
      <c r="C1000" s="6"/>
      <c r="E1000" s="1"/>
      <c r="H1000" s="6"/>
    </row>
  </sheetData>
  <mergeCells count="142">
    <mergeCell ref="O31:Q32"/>
    <mergeCell ref="R31:T32"/>
    <mergeCell ref="E34:E38"/>
    <mergeCell ref="F34:F38"/>
    <mergeCell ref="G34:G38"/>
    <mergeCell ref="I34:K38"/>
    <mergeCell ref="O34:Z38"/>
    <mergeCell ref="D39:H39"/>
    <mergeCell ref="C43:H43"/>
    <mergeCell ref="I43:K43"/>
    <mergeCell ref="L43:N43"/>
    <mergeCell ref="O43:Q43"/>
    <mergeCell ref="R43:T43"/>
    <mergeCell ref="U43:W43"/>
    <mergeCell ref="O8:Q9"/>
    <mergeCell ref="R8:T9"/>
    <mergeCell ref="X8:Z9"/>
    <mergeCell ref="AB8:AB10"/>
    <mergeCell ref="O11:Z15"/>
    <mergeCell ref="Q3:X3"/>
    <mergeCell ref="Q4:X4"/>
    <mergeCell ref="Q5:X5"/>
    <mergeCell ref="Q6:X6"/>
    <mergeCell ref="C8:H9"/>
    <mergeCell ref="L8:N9"/>
    <mergeCell ref="U8:W9"/>
    <mergeCell ref="O20:Q21"/>
    <mergeCell ref="R20:T21"/>
    <mergeCell ref="U20:W21"/>
    <mergeCell ref="X20:Z21"/>
    <mergeCell ref="AB20:AB22"/>
    <mergeCell ref="I8:K9"/>
    <mergeCell ref="G11:G15"/>
    <mergeCell ref="I11:K15"/>
    <mergeCell ref="D16:H16"/>
    <mergeCell ref="C20:H21"/>
    <mergeCell ref="I20:K21"/>
    <mergeCell ref="L20:N21"/>
    <mergeCell ref="U31:W32"/>
    <mergeCell ref="X31:Z32"/>
    <mergeCell ref="AB31:AB33"/>
    <mergeCell ref="E23:E26"/>
    <mergeCell ref="I23:N26"/>
    <mergeCell ref="R23:Z26"/>
    <mergeCell ref="D27:H27"/>
    <mergeCell ref="C31:H32"/>
    <mergeCell ref="I31:K32"/>
    <mergeCell ref="L31:N32"/>
    <mergeCell ref="X43:Z43"/>
    <mergeCell ref="AB43:AB44"/>
    <mergeCell ref="E45:E50"/>
    <mergeCell ref="F45:F50"/>
    <mergeCell ref="G45:G50"/>
    <mergeCell ref="I45:Q50"/>
    <mergeCell ref="U45:Z50"/>
    <mergeCell ref="P65:U65"/>
    <mergeCell ref="P67:R67"/>
    <mergeCell ref="D65:E65"/>
    <mergeCell ref="F65:G65"/>
    <mergeCell ref="V65:AB65"/>
    <mergeCell ref="D66:E66"/>
    <mergeCell ref="F66:G66"/>
    <mergeCell ref="Z66:AA66"/>
    <mergeCell ref="Z67:AA67"/>
    <mergeCell ref="E77:E86"/>
    <mergeCell ref="F77:F86"/>
    <mergeCell ref="C93:C100"/>
    <mergeCell ref="D93:D100"/>
    <mergeCell ref="E93:E100"/>
    <mergeCell ref="F93:F100"/>
    <mergeCell ref="G77:G83"/>
    <mergeCell ref="G84:G86"/>
    <mergeCell ref="G93:G97"/>
    <mergeCell ref="G98:G100"/>
    <mergeCell ref="H111:H112"/>
    <mergeCell ref="H77:H79"/>
    <mergeCell ref="I77:W86"/>
    <mergeCell ref="X77:X86"/>
    <mergeCell ref="Y77:Y86"/>
    <mergeCell ref="Z77:Z86"/>
    <mergeCell ref="AB77:AB86"/>
    <mergeCell ref="H80:H83"/>
    <mergeCell ref="I65:J65"/>
    <mergeCell ref="I66:J66"/>
    <mergeCell ref="C75:H75"/>
    <mergeCell ref="I75:K75"/>
    <mergeCell ref="L75:N75"/>
    <mergeCell ref="C77:C86"/>
    <mergeCell ref="D77:D86"/>
    <mergeCell ref="H85:H86"/>
    <mergeCell ref="D87:H87"/>
    <mergeCell ref="C91:H91"/>
    <mergeCell ref="I91:K91"/>
    <mergeCell ref="L91:N91"/>
    <mergeCell ref="O91:Q91"/>
    <mergeCell ref="R91:T91"/>
    <mergeCell ref="I93:W100"/>
    <mergeCell ref="H94:H97"/>
    <mergeCell ref="H99:H100"/>
    <mergeCell ref="D101:H101"/>
    <mergeCell ref="U91:W91"/>
    <mergeCell ref="X91:Z91"/>
    <mergeCell ref="AB91:AB92"/>
    <mergeCell ref="X93:X100"/>
    <mergeCell ref="Y93:Y100"/>
    <mergeCell ref="Z93:Z100"/>
    <mergeCell ref="AB93:AB100"/>
    <mergeCell ref="X55:Z55"/>
    <mergeCell ref="AB55:AB56"/>
    <mergeCell ref="D51:H51"/>
    <mergeCell ref="C55:H55"/>
    <mergeCell ref="I55:K55"/>
    <mergeCell ref="L55:N55"/>
    <mergeCell ref="O55:Q55"/>
    <mergeCell ref="R55:T55"/>
    <mergeCell ref="U55:W55"/>
    <mergeCell ref="E57:E61"/>
    <mergeCell ref="F57:F61"/>
    <mergeCell ref="G57:G61"/>
    <mergeCell ref="H57:H61"/>
    <mergeCell ref="I57:N61"/>
    <mergeCell ref="R57:Z61"/>
    <mergeCell ref="D62:H62"/>
    <mergeCell ref="V66:W66"/>
    <mergeCell ref="X66:Y66"/>
    <mergeCell ref="V67:W67"/>
    <mergeCell ref="X67:Y67"/>
    <mergeCell ref="V68:W68"/>
    <mergeCell ref="X68:Y68"/>
    <mergeCell ref="Z68:AA68"/>
    <mergeCell ref="P69:AB69"/>
    <mergeCell ref="P70:U70"/>
    <mergeCell ref="V70:AB70"/>
    <mergeCell ref="X75:Z75"/>
    <mergeCell ref="AB75:AB76"/>
    <mergeCell ref="M65:O68"/>
    <mergeCell ref="P68:R68"/>
    <mergeCell ref="M69:O69"/>
    <mergeCell ref="M70:O70"/>
    <mergeCell ref="O75:Q75"/>
    <mergeCell ref="R75:T75"/>
    <mergeCell ref="U75:W75"/>
  </mergeCells>
  <dataValidations>
    <dataValidation type="list" allowBlank="1" showErrorMessage="1" sqref="G10 G22 G33 G44 G56 G76 G92">
      <formula1>$D$8:$D$11</formula1>
    </dataValidation>
    <dataValidation type="list" allowBlank="1" showErrorMessage="1" sqref="G24:G26">
      <formula1>$D$22</formula1>
    </dataValidation>
    <dataValidation type="list" allowBlank="1" showErrorMessage="1" sqref="F17 F19">
      <formula1>$C$9:$C$23</formula1>
    </dataValidation>
  </dataValidations>
  <printOptions/>
  <pageMargins bottom="0.75" footer="0.0" header="0.0" left="0.7" right="0.7" top="0.75"/>
  <pageSetup paperSize="8" orientation="landscape"/>
  <rowBreaks count="1" manualBreakCount="1">
    <brk id="103" man="1"/>
  </rowBreaks>
  <colBreaks count="1" manualBreakCount="1">
    <brk id="31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2024-09-25T05:28:02Z</dcterms:created>
  <dc:creator>roam noor</dc:creator>
</cp:coreProperties>
</file>