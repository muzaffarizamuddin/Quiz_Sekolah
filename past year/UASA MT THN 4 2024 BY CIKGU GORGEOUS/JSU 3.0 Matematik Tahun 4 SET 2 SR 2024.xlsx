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d0102b62d4bad0/Desktop/"/>
    </mc:Choice>
  </mc:AlternateContent>
  <xr:revisionPtr revIDLastSave="0" documentId="8_{776DB252-D347-48E5-B9C9-A8B2FEF98A80}" xr6:coauthVersionLast="47" xr6:coauthVersionMax="47" xr10:uidLastSave="{00000000-0000-0000-0000-000000000000}"/>
  <bookViews>
    <workbookView xWindow="-108" yWindow="-108" windowWidth="23256" windowHeight="12456" xr2:uid="{0A96B605-8087-4ABB-B49F-95C37E48EC54}"/>
  </bookViews>
  <sheets>
    <sheet name="JSU Piaw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" i="1" l="1"/>
  <c r="G80" i="1"/>
  <c r="V73" i="1"/>
  <c r="AR67" i="1"/>
  <c r="AQ67" i="1"/>
  <c r="AP67" i="1"/>
  <c r="AO67" i="1"/>
  <c r="AN67" i="1"/>
  <c r="N80" i="1" s="1"/>
  <c r="AM67" i="1"/>
  <c r="AL67" i="1"/>
  <c r="AK67" i="1"/>
  <c r="AJ67" i="1"/>
  <c r="AI67" i="1"/>
  <c r="AH67" i="1"/>
  <c r="AG67" i="1"/>
  <c r="AF67" i="1"/>
  <c r="AE67" i="1"/>
  <c r="AD67" i="1"/>
  <c r="AS67" i="1" s="1"/>
  <c r="S67" i="1"/>
  <c r="R67" i="1"/>
  <c r="Q67" i="1"/>
  <c r="P67" i="1"/>
  <c r="V80" i="1" s="1"/>
  <c r="O67" i="1"/>
  <c r="N67" i="1"/>
  <c r="M67" i="1"/>
  <c r="S80" i="1" s="1"/>
  <c r="L67" i="1"/>
  <c r="K67" i="1"/>
  <c r="J67" i="1"/>
  <c r="P80" i="1" s="1"/>
  <c r="I67" i="1"/>
  <c r="J80" i="1" s="1"/>
  <c r="H67" i="1"/>
  <c r="G67" i="1"/>
  <c r="P77" i="1" s="1"/>
  <c r="F67" i="1"/>
  <c r="J77" i="1" s="1"/>
  <c r="E67" i="1"/>
  <c r="D77" i="1" s="1"/>
  <c r="AS66" i="1"/>
  <c r="T66" i="1"/>
  <c r="AS65" i="1"/>
  <c r="T65" i="1"/>
  <c r="AS63" i="1"/>
  <c r="AS62" i="1"/>
  <c r="T62" i="1"/>
  <c r="AS61" i="1"/>
  <c r="T61" i="1"/>
  <c r="AS60" i="1"/>
  <c r="T60" i="1"/>
  <c r="AS59" i="1"/>
  <c r="T59" i="1"/>
  <c r="AS57" i="1"/>
  <c r="AS56" i="1"/>
  <c r="T56" i="1"/>
  <c r="AS55" i="1"/>
  <c r="T55" i="1"/>
  <c r="AS54" i="1"/>
  <c r="T54" i="1"/>
  <c r="AS53" i="1"/>
  <c r="T53" i="1"/>
  <c r="AS52" i="1"/>
  <c r="T52" i="1"/>
  <c r="AS51" i="1"/>
  <c r="T51" i="1"/>
  <c r="U51" i="1" s="1"/>
  <c r="AS50" i="1"/>
  <c r="T50" i="1"/>
  <c r="AS49" i="1"/>
  <c r="T49" i="1"/>
  <c r="AS48" i="1"/>
  <c r="T48" i="1"/>
  <c r="AS47" i="1"/>
  <c r="T47" i="1"/>
  <c r="AS46" i="1"/>
  <c r="U46" i="1"/>
  <c r="T46" i="1"/>
  <c r="AS45" i="1"/>
  <c r="T45" i="1"/>
  <c r="AS44" i="1"/>
  <c r="T44" i="1"/>
  <c r="AS43" i="1"/>
  <c r="T43" i="1"/>
  <c r="AS42" i="1"/>
  <c r="T42" i="1"/>
  <c r="U42" i="1" s="1"/>
  <c r="AS41" i="1"/>
  <c r="T41" i="1"/>
  <c r="AS40" i="1"/>
  <c r="T40" i="1"/>
  <c r="AS38" i="1"/>
  <c r="AS37" i="1"/>
  <c r="T37" i="1"/>
  <c r="AS36" i="1"/>
  <c r="AS35" i="1"/>
  <c r="AS34" i="1"/>
  <c r="AS33" i="1"/>
  <c r="AS32" i="1"/>
  <c r="T32" i="1"/>
  <c r="AS31" i="1"/>
  <c r="T31" i="1"/>
  <c r="AS30" i="1"/>
  <c r="U30" i="1"/>
  <c r="T30" i="1"/>
  <c r="AS29" i="1"/>
  <c r="T29" i="1"/>
  <c r="AS28" i="1"/>
  <c r="T28" i="1"/>
  <c r="AS27" i="1"/>
  <c r="T27" i="1"/>
  <c r="AS26" i="1"/>
  <c r="T26" i="1"/>
  <c r="AS25" i="1"/>
  <c r="U25" i="1"/>
  <c r="T25" i="1"/>
  <c r="AS24" i="1"/>
  <c r="T24" i="1"/>
  <c r="AS23" i="1"/>
  <c r="U23" i="1"/>
  <c r="T23" i="1"/>
  <c r="AS22" i="1"/>
  <c r="T22" i="1"/>
  <c r="AS21" i="1"/>
  <c r="T21" i="1"/>
  <c r="AS20" i="1"/>
  <c r="T20" i="1"/>
  <c r="AS19" i="1"/>
  <c r="T19" i="1"/>
  <c r="AS18" i="1"/>
  <c r="T18" i="1"/>
  <c r="AS17" i="1"/>
  <c r="U17" i="1"/>
  <c r="T17" i="1"/>
  <c r="AS16" i="1"/>
  <c r="T16" i="1"/>
  <c r="AS15" i="1"/>
  <c r="T15" i="1"/>
  <c r="U15" i="1" s="1"/>
  <c r="AS14" i="1"/>
  <c r="U14" i="1"/>
  <c r="P78" i="1" l="1"/>
  <c r="J78" i="1"/>
  <c r="T67" i="1"/>
  <c r="D75" i="1" s="1"/>
  <c r="D80" i="1"/>
  <c r="P81" i="1" l="1"/>
  <c r="J81" i="1"/>
  <c r="D81" i="1"/>
  <c r="D78" i="1"/>
</calcChain>
</file>

<file path=xl/sharedStrings.xml><?xml version="1.0" encoding="utf-8"?>
<sst xmlns="http://schemas.openxmlformats.org/spreadsheetml/2006/main" count="175" uniqueCount="117">
  <si>
    <t>JSU STANDARD MATEMATIK TAHUN 4 UJIAN AKHIR SESI AKADEMIK</t>
  </si>
  <si>
    <t>Bil</t>
  </si>
  <si>
    <t>Konteks</t>
  </si>
  <si>
    <t>Nombor soalan</t>
  </si>
  <si>
    <t>BAHAGIAN A</t>
  </si>
  <si>
    <t xml:space="preserve">BAHAGIAN B </t>
  </si>
  <si>
    <t>KONSTRUK</t>
  </si>
  <si>
    <t>SP</t>
  </si>
  <si>
    <t>MENGETAHUI DAN MEMAHAMAI</t>
  </si>
  <si>
    <t>MENGAPLIKASI</t>
  </si>
  <si>
    <t>MENGANALISIS</t>
  </si>
  <si>
    <t>MENILAI</t>
  </si>
  <si>
    <t>MENAAKUL</t>
  </si>
  <si>
    <t>Markah</t>
  </si>
  <si>
    <t>Bil. Item</t>
  </si>
  <si>
    <t>TEMA</t>
  </si>
  <si>
    <t>SK</t>
  </si>
  <si>
    <t>R</t>
  </si>
  <si>
    <t>S</t>
  </si>
  <si>
    <t>T</t>
  </si>
  <si>
    <t>PERSONAL</t>
  </si>
  <si>
    <t>MASYARAKAT</t>
  </si>
  <si>
    <t>PEKERJAAN</t>
  </si>
  <si>
    <t>SAINTIFIK</t>
  </si>
  <si>
    <t>BIDANG: NOMBOR DAN OPERASI</t>
  </si>
  <si>
    <t>NOMBOR BULAT DAN OPERASI</t>
  </si>
  <si>
    <t>Nilai nombor</t>
  </si>
  <si>
    <t>1.1.1</t>
  </si>
  <si>
    <t>Nombor genap dan nombor ganjil</t>
  </si>
  <si>
    <t>Penganggaran</t>
  </si>
  <si>
    <t>Pembundaran</t>
  </si>
  <si>
    <t>1.4.1</t>
  </si>
  <si>
    <t>Pola nombor</t>
  </si>
  <si>
    <t>Operasi asas dalam lingkungan 100 000</t>
  </si>
  <si>
    <t>1.6.1</t>
  </si>
  <si>
    <t>Operasi bergabung</t>
  </si>
  <si>
    <t>1.7.2</t>
  </si>
  <si>
    <t>Penggunaan anu</t>
  </si>
  <si>
    <t>Penyelesaian masalah</t>
  </si>
  <si>
    <t>PECAHAN, PERPULUHAN DAN PERATUS</t>
  </si>
  <si>
    <t>Pecahan</t>
  </si>
  <si>
    <t>2.1.5</t>
  </si>
  <si>
    <t>Perpuluhan</t>
  </si>
  <si>
    <t>2.2.1</t>
  </si>
  <si>
    <t>Peratus</t>
  </si>
  <si>
    <t>WANG</t>
  </si>
  <si>
    <t>Operasi asas wang</t>
  </si>
  <si>
    <t>Operasi bergabung wang</t>
  </si>
  <si>
    <t>3.2.1</t>
  </si>
  <si>
    <t>2(d)</t>
  </si>
  <si>
    <t>Pengurusan kewangan</t>
  </si>
  <si>
    <t>Tanggungjawab dalam membuat keputusan berkaitan kewangan</t>
  </si>
  <si>
    <t>Mata wang asing</t>
  </si>
  <si>
    <t>Instrumen pembayaran</t>
  </si>
  <si>
    <t>2(c)</t>
  </si>
  <si>
    <t>3.7.1</t>
  </si>
  <si>
    <t>BIDANG: SUKATAN DAN GEOMETRI</t>
  </si>
  <si>
    <t>MASA DAN WAKTU</t>
  </si>
  <si>
    <t>Sistem 12 jam dan 24 jam</t>
  </si>
  <si>
    <t>Tempoh masa</t>
  </si>
  <si>
    <t>Anggaran masa</t>
  </si>
  <si>
    <t>Perkaitan dalam masa</t>
  </si>
  <si>
    <t>Operasi asas masa</t>
  </si>
  <si>
    <t>4.5.1 (i)</t>
  </si>
  <si>
    <t>1(b)</t>
  </si>
  <si>
    <t>4.6.1</t>
  </si>
  <si>
    <t>UKURAN DAN SUKATAN</t>
  </si>
  <si>
    <t>Panjang</t>
  </si>
  <si>
    <t>5.1.6</t>
  </si>
  <si>
    <t>Jisim</t>
  </si>
  <si>
    <t>5.2.2</t>
  </si>
  <si>
    <t>1(c)</t>
  </si>
  <si>
    <t>Isi padu secair</t>
  </si>
  <si>
    <t>RUANG</t>
  </si>
  <si>
    <t>Sudut</t>
  </si>
  <si>
    <t>Garis selari dan garis serenjang</t>
  </si>
  <si>
    <t>Perimeter dan luas</t>
  </si>
  <si>
    <t>6.3.1</t>
  </si>
  <si>
    <t>2(a)</t>
  </si>
  <si>
    <t xml:space="preserve">6.3.2 </t>
  </si>
  <si>
    <t>Isi padu pepejal</t>
  </si>
  <si>
    <t>2(b)</t>
  </si>
  <si>
    <t>6.5.1</t>
  </si>
  <si>
    <t>BIDANG: PERKAITAN DAN ALGEBRA</t>
  </si>
  <si>
    <t>KOORDINAT, NISBAH DAN KADARAN</t>
  </si>
  <si>
    <t>Koordinat pada sukuan pertama</t>
  </si>
  <si>
    <t>Nisbah</t>
  </si>
  <si>
    <t>7.2.1</t>
  </si>
  <si>
    <t>Kadaran</t>
  </si>
  <si>
    <t>1 (a)</t>
  </si>
  <si>
    <t>7.3.1</t>
  </si>
  <si>
    <t>BIDANG: STATISTIK DAN KEBARANGKALIAN</t>
  </si>
  <si>
    <t>PENGURUSAN DATA</t>
  </si>
  <si>
    <t>Piktograf dan carta palang</t>
  </si>
  <si>
    <t>8.1.1</t>
  </si>
  <si>
    <t>1(d)</t>
  </si>
  <si>
    <t>8.2.1</t>
  </si>
  <si>
    <t>JUMLAH</t>
  </si>
  <si>
    <t xml:space="preserve">Konstruk </t>
  </si>
  <si>
    <t>Aras Kesukaran</t>
  </si>
  <si>
    <t>Mengingat &amp; Memahami dan Mengaplikasi</t>
  </si>
  <si>
    <t>Rendah</t>
  </si>
  <si>
    <t>Mengaplikasi, Menganalisis dan Menilai</t>
  </si>
  <si>
    <t>Sederhana</t>
  </si>
  <si>
    <t>Menganalisis dan Menilai</t>
  </si>
  <si>
    <t>Tinggi</t>
  </si>
  <si>
    <t>Jumlah</t>
  </si>
  <si>
    <t>JUMLAH MARKAH</t>
  </si>
  <si>
    <t>ARAS KESUKARAN ITEM</t>
  </si>
  <si>
    <t xml:space="preserve">RENDAH </t>
  </si>
  <si>
    <t>SEDERHANA</t>
  </si>
  <si>
    <t>TINGGI</t>
  </si>
  <si>
    <t>NISBAH ARAS KESUKARAN ITEM</t>
  </si>
  <si>
    <t>KEMAHIRAN BERFIKIR (KONSTRUK)</t>
  </si>
  <si>
    <t>MENGETAHUI DAN MEMAHAMI</t>
  </si>
  <si>
    <t>JUMLAH WAJARAN</t>
  </si>
  <si>
    <t>PERATUS WAJARAN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</si>
</sst>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_ "/>
    <numFmt numFmtId="166" formatCode="0_ "/>
    <numFmt numFmtId="167" formatCode="0.000_ "/>
  </numFmts>
  <fonts count="29">
    <font>
      <sz val="11"/>
      <color theme="1"/>
      <name val="Calibri"/>
      <family val="2"/>
      <scheme val="minor"/>
    </font>
    <font>
      <sz val="11"/>
      <color theme="1"/>
      <name val="Cambria"/>
    </font>
    <font>
      <b/>
      <sz val="11"/>
      <color theme="1"/>
      <name val="Cambria"/>
    </font>
    <font>
      <sz val="11"/>
      <color theme="1"/>
      <name val="Calibri"/>
    </font>
    <font>
      <b/>
      <sz val="20"/>
      <color theme="1"/>
      <name val="Cambria"/>
    </font>
    <font>
      <b/>
      <sz val="16"/>
      <color theme="1"/>
      <name val="Cambria"/>
    </font>
    <font>
      <b/>
      <sz val="12"/>
      <color rgb="FF000000"/>
      <name val="Cambria"/>
    </font>
    <font>
      <b/>
      <sz val="16"/>
      <color rgb="FFFFFFFF"/>
      <name val="Cambria"/>
    </font>
    <font>
      <sz val="11"/>
      <name val="Calibri"/>
    </font>
    <font>
      <b/>
      <sz val="14"/>
      <color theme="1"/>
      <name val="Cambria"/>
    </font>
    <font>
      <b/>
      <sz val="20"/>
      <color theme="1"/>
      <name val="Cambria"/>
      <family val="1"/>
    </font>
    <font>
      <b/>
      <sz val="14"/>
      <name val="Cambria"/>
      <family val="1"/>
    </font>
    <font>
      <b/>
      <sz val="13"/>
      <color theme="1"/>
      <name val="Cambria"/>
    </font>
    <font>
      <b/>
      <sz val="22"/>
      <color theme="1"/>
      <name val="Cambria"/>
    </font>
    <font>
      <b/>
      <sz val="20"/>
      <color rgb="FF000000"/>
      <name val="Cambria"/>
      <family val="1"/>
    </font>
    <font>
      <b/>
      <sz val="11"/>
      <color rgb="FF000000"/>
      <name val="Cambria"/>
    </font>
    <font>
      <b/>
      <sz val="8"/>
      <color theme="1"/>
      <name val="Cambria"/>
      <family val="1"/>
    </font>
    <font>
      <b/>
      <sz val="16"/>
      <color rgb="FF000000"/>
      <name val="Cambria"/>
    </font>
    <font>
      <b/>
      <sz val="16"/>
      <color theme="0"/>
      <name val="Cambria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1"/>
      <name val="Calibri"/>
      <scheme val="minor"/>
    </font>
    <font>
      <b/>
      <sz val="11"/>
      <color rgb="FFFF0000"/>
      <name val="Cambria"/>
    </font>
    <font>
      <sz val="11"/>
      <color rgb="FF000000"/>
      <name val="Cambria"/>
    </font>
    <font>
      <sz val="11"/>
      <color theme="1"/>
      <name val="Cambria"/>
      <family val="1"/>
    </font>
    <font>
      <b/>
      <sz val="11"/>
      <color rgb="FF000000"/>
      <name val="Cambria"/>
      <family val="1"/>
    </font>
    <font>
      <b/>
      <sz val="12"/>
      <color theme="1"/>
      <name val="Cambria"/>
    </font>
    <font>
      <sz val="12"/>
      <color theme="1"/>
      <name val="Cambria"/>
    </font>
    <font>
      <b/>
      <sz val="10"/>
      <color theme="1"/>
      <name val="Cambria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1F3864"/>
        <bgColor rgb="FF1F3864"/>
      </patternFill>
    </fill>
    <fill>
      <patternFill patternType="solid">
        <fgColor rgb="FF1D3C72"/>
        <bgColor rgb="FF1D3C72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C5E0B3"/>
        <bgColor rgb="FFC5E0B3"/>
      </patternFill>
    </fill>
    <fill>
      <patternFill patternType="solid">
        <fgColor rgb="FFF7FC7E"/>
        <bgColor rgb="FFF7FC7E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theme="0"/>
      </patternFill>
    </fill>
    <fill>
      <patternFill patternType="solid">
        <fgColor rgb="FFB2D3B9"/>
        <bgColor rgb="FFB2D3B9"/>
      </patternFill>
    </fill>
    <fill>
      <patternFill patternType="solid">
        <fgColor rgb="FF999999"/>
        <bgColor rgb="FF999999"/>
      </patternFill>
    </fill>
    <fill>
      <patternFill patternType="solid">
        <fgColor theme="1"/>
        <bgColor theme="1"/>
      </patternFill>
    </fill>
    <fill>
      <patternFill patternType="solid">
        <fgColor theme="1"/>
        <bgColor rgb="FFB7B7B7"/>
      </patternFill>
    </fill>
    <fill>
      <patternFill patternType="solid">
        <fgColor theme="1"/>
        <bgColor rgb="FFC5E0B3"/>
      </patternFill>
    </fill>
    <fill>
      <patternFill patternType="solid">
        <fgColor theme="1"/>
        <bgColor rgb="FFF7FC7E"/>
      </patternFill>
    </fill>
    <fill>
      <patternFill patternType="solid">
        <fgColor theme="1"/>
        <bgColor rgb="FFFF0000"/>
      </patternFill>
    </fill>
    <fill>
      <patternFill patternType="solid">
        <fgColor theme="4" tint="0.59999389629810485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7F6B6"/>
        <bgColor rgb="FFF7F6B6"/>
      </patternFill>
    </fill>
    <fill>
      <patternFill patternType="solid">
        <fgColor theme="7" tint="0.79998168889431442"/>
        <bgColor rgb="FFF7F6B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BE4D5"/>
      </patternFill>
    </fill>
  </fills>
  <borders count="10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7" fillId="2" borderId="0" xfId="0" applyFont="1" applyFill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6" xfId="0" applyFont="1" applyBorder="1"/>
    <xf numFmtId="0" fontId="0" fillId="0" borderId="0" xfId="0"/>
    <xf numFmtId="0" fontId="9" fillId="6" borderId="3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8" fillId="0" borderId="12" xfId="0" applyFont="1" applyBorder="1"/>
    <xf numFmtId="0" fontId="8" fillId="0" borderId="0" xfId="0" applyFont="1"/>
    <xf numFmtId="0" fontId="12" fillId="9" borderId="3" xfId="0" applyFont="1" applyFill="1" applyBorder="1" applyAlignment="1">
      <alignment horizontal="center" wrapText="1"/>
    </xf>
    <xf numFmtId="0" fontId="12" fillId="10" borderId="4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8" fillId="0" borderId="2" xfId="0" applyFont="1" applyBorder="1"/>
    <xf numFmtId="0" fontId="10" fillId="7" borderId="14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2" fillId="9" borderId="12" xfId="0" applyFont="1" applyFill="1" applyBorder="1" applyAlignment="1">
      <alignment horizontal="center" wrapText="1"/>
    </xf>
    <xf numFmtId="0" fontId="8" fillId="0" borderId="16" xfId="0" applyFont="1" applyBorder="1"/>
    <xf numFmtId="0" fontId="12" fillId="10" borderId="12" xfId="0" applyFont="1" applyFill="1" applyBorder="1" applyAlignment="1">
      <alignment horizontal="center"/>
    </xf>
    <xf numFmtId="0" fontId="12" fillId="10" borderId="17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/>
    </xf>
    <xf numFmtId="0" fontId="2" fillId="2" borderId="20" xfId="0" applyFont="1" applyFill="1" applyBorder="1"/>
    <xf numFmtId="0" fontId="14" fillId="12" borderId="19" xfId="0" applyFont="1" applyFill="1" applyBorder="1" applyAlignment="1">
      <alignment horizontal="center"/>
    </xf>
    <xf numFmtId="0" fontId="15" fillId="13" borderId="21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8" fillId="0" borderId="17" xfId="0" applyFont="1" applyBorder="1"/>
    <xf numFmtId="0" fontId="8" fillId="0" borderId="26" xfId="0" applyFont="1" applyBorder="1"/>
    <xf numFmtId="0" fontId="16" fillId="2" borderId="27" xfId="0" applyFont="1" applyFill="1" applyBorder="1" applyAlignment="1">
      <alignment horizontal="center"/>
    </xf>
    <xf numFmtId="0" fontId="16" fillId="2" borderId="5" xfId="0" applyFont="1" applyFill="1" applyBorder="1"/>
    <xf numFmtId="0" fontId="16" fillId="2" borderId="28" xfId="0" applyFont="1" applyFill="1" applyBorder="1"/>
    <xf numFmtId="0" fontId="16" fillId="2" borderId="3" xfId="0" applyFont="1" applyFill="1" applyBorder="1"/>
    <xf numFmtId="0" fontId="10" fillId="7" borderId="29" xfId="0" applyFont="1" applyFill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0" fontId="10" fillId="7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8" fillId="0" borderId="18" xfId="0" applyFont="1" applyBorder="1"/>
    <xf numFmtId="164" fontId="10" fillId="0" borderId="37" xfId="0" applyNumberFormat="1" applyFont="1" applyBorder="1" applyAlignment="1">
      <alignment horizontal="center"/>
    </xf>
    <xf numFmtId="0" fontId="15" fillId="14" borderId="10" xfId="0" applyFont="1" applyFill="1" applyBorder="1" applyAlignment="1">
      <alignment horizontal="left"/>
    </xf>
    <xf numFmtId="0" fontId="14" fillId="12" borderId="37" xfId="0" applyFont="1" applyFill="1" applyBorder="1" applyAlignment="1">
      <alignment horizontal="center"/>
    </xf>
    <xf numFmtId="0" fontId="17" fillId="13" borderId="38" xfId="0" applyFont="1" applyFill="1" applyBorder="1" applyAlignment="1">
      <alignment horizontal="center" vertical="center"/>
    </xf>
    <xf numFmtId="0" fontId="18" fillId="13" borderId="39" xfId="0" applyFont="1" applyFill="1" applyBorder="1" applyAlignment="1">
      <alignment horizontal="center" vertical="center"/>
    </xf>
    <xf numFmtId="0" fontId="17" fillId="13" borderId="40" xfId="0" applyFont="1" applyFill="1" applyBorder="1" applyAlignment="1">
      <alignment horizontal="center" vertical="center"/>
    </xf>
    <xf numFmtId="0" fontId="18" fillId="13" borderId="38" xfId="0" applyFont="1" applyFill="1" applyBorder="1" applyAlignment="1">
      <alignment horizontal="center" vertical="center"/>
    </xf>
    <xf numFmtId="0" fontId="18" fillId="13" borderId="22" xfId="0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vertical="center"/>
    </xf>
    <xf numFmtId="0" fontId="1" fillId="2" borderId="25" xfId="0" applyFont="1" applyFill="1" applyBorder="1" applyProtection="1">
      <protection locked="0"/>
    </xf>
    <xf numFmtId="0" fontId="1" fillId="2" borderId="42" xfId="0" applyFont="1" applyFill="1" applyBorder="1" applyProtection="1">
      <protection locked="0"/>
    </xf>
    <xf numFmtId="0" fontId="1" fillId="2" borderId="43" xfId="0" applyFont="1" applyFill="1" applyBorder="1" applyProtection="1">
      <protection locked="0"/>
    </xf>
    <xf numFmtId="0" fontId="1" fillId="15" borderId="44" xfId="0" applyFont="1" applyFill="1" applyBorder="1" applyAlignment="1">
      <alignment horizontal="center"/>
    </xf>
    <xf numFmtId="0" fontId="1" fillId="15" borderId="45" xfId="0" applyFont="1" applyFill="1" applyBorder="1" applyAlignment="1">
      <alignment horizontal="center"/>
    </xf>
    <xf numFmtId="0" fontId="1" fillId="15" borderId="46" xfId="0" applyFont="1" applyFill="1" applyBorder="1" applyAlignment="1">
      <alignment horizontal="center"/>
    </xf>
    <xf numFmtId="0" fontId="2" fillId="13" borderId="47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3" borderId="49" xfId="0" applyFont="1" applyFill="1" applyBorder="1" applyAlignment="1">
      <alignment horizontal="center" vertical="center"/>
    </xf>
    <xf numFmtId="0" fontId="2" fillId="13" borderId="50" xfId="0" applyFont="1" applyFill="1" applyBorder="1" applyAlignment="1">
      <alignment horizontal="center" vertical="center"/>
    </xf>
    <xf numFmtId="0" fontId="2" fillId="13" borderId="51" xfId="0" applyFont="1" applyFill="1" applyBorder="1" applyAlignment="1">
      <alignment horizontal="center" vertical="center"/>
    </xf>
    <xf numFmtId="0" fontId="2" fillId="13" borderId="52" xfId="0" applyFont="1" applyFill="1" applyBorder="1" applyAlignment="1">
      <alignment horizontal="center" vertical="center"/>
    </xf>
    <xf numFmtId="0" fontId="2" fillId="13" borderId="13" xfId="0" applyFont="1" applyFill="1" applyBorder="1"/>
    <xf numFmtId="164" fontId="19" fillId="0" borderId="53" xfId="0" applyNumberFormat="1" applyFont="1" applyBorder="1" applyAlignment="1">
      <alignment horizontal="center"/>
    </xf>
    <xf numFmtId="0" fontId="2" fillId="0" borderId="22" xfId="0" applyFont="1" applyBorder="1"/>
    <xf numFmtId="0" fontId="2" fillId="16" borderId="22" xfId="0" applyFont="1" applyFill="1" applyBorder="1"/>
    <xf numFmtId="0" fontId="2" fillId="13" borderId="39" xfId="0" applyFont="1" applyFill="1" applyBorder="1" applyAlignment="1">
      <alignment horizontal="center" vertical="center"/>
    </xf>
    <xf numFmtId="0" fontId="2" fillId="13" borderId="40" xfId="0" applyFont="1" applyFill="1" applyBorder="1" applyAlignment="1">
      <alignment horizontal="center" vertical="center"/>
    </xf>
    <xf numFmtId="0" fontId="2" fillId="13" borderId="38" xfId="0" applyFont="1" applyFill="1" applyBorder="1" applyAlignment="1">
      <alignment horizontal="center" vertical="center"/>
    </xf>
    <xf numFmtId="0" fontId="15" fillId="13" borderId="54" xfId="0" applyFont="1" applyFill="1" applyBorder="1" applyAlignment="1">
      <alignment horizontal="center" vertical="center"/>
    </xf>
    <xf numFmtId="0" fontId="15" fillId="13" borderId="55" xfId="0" applyFont="1" applyFill="1" applyBorder="1" applyAlignment="1">
      <alignment horizontal="center" vertical="center"/>
    </xf>
    <xf numFmtId="0" fontId="1" fillId="2" borderId="56" xfId="0" applyFont="1" applyFill="1" applyBorder="1" applyProtection="1">
      <protection locked="0"/>
    </xf>
    <xf numFmtId="0" fontId="1" fillId="2" borderId="39" xfId="0" applyFont="1" applyFill="1" applyBorder="1" applyProtection="1">
      <protection locked="0"/>
    </xf>
    <xf numFmtId="0" fontId="1" fillId="2" borderId="57" xfId="0" applyFont="1" applyFill="1" applyBorder="1" applyProtection="1">
      <protection locked="0"/>
    </xf>
    <xf numFmtId="0" fontId="1" fillId="15" borderId="58" xfId="0" applyFont="1" applyFill="1" applyBorder="1" applyAlignment="1">
      <alignment horizontal="center"/>
    </xf>
    <xf numFmtId="0" fontId="1" fillId="15" borderId="59" xfId="0" applyFont="1" applyFill="1" applyBorder="1" applyAlignment="1">
      <alignment horizontal="center"/>
    </xf>
    <xf numFmtId="0" fontId="1" fillId="15" borderId="60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/>
    </xf>
    <xf numFmtId="0" fontId="2" fillId="13" borderId="61" xfId="0" applyFont="1" applyFill="1" applyBorder="1"/>
    <xf numFmtId="0" fontId="1" fillId="0" borderId="54" xfId="0" applyFont="1" applyBorder="1" applyAlignment="1">
      <alignment horizontal="center"/>
    </xf>
    <xf numFmtId="0" fontId="1" fillId="0" borderId="39" xfId="0" applyFont="1" applyBorder="1"/>
    <xf numFmtId="0" fontId="20" fillId="7" borderId="39" xfId="0" applyFont="1" applyFill="1" applyBorder="1" applyAlignment="1" applyProtection="1">
      <alignment horizontal="center"/>
      <protection locked="0"/>
    </xf>
    <xf numFmtId="0" fontId="15" fillId="17" borderId="39" xfId="0" applyFont="1" applyFill="1" applyBorder="1" applyAlignment="1" applyProtection="1">
      <alignment horizontal="center" vertical="center"/>
      <protection locked="0"/>
    </xf>
    <xf numFmtId="0" fontId="15" fillId="18" borderId="39" xfId="0" applyFont="1" applyFill="1" applyBorder="1" applyAlignment="1" applyProtection="1">
      <alignment horizontal="center" vertical="center"/>
      <protection locked="0"/>
    </xf>
    <xf numFmtId="0" fontId="15" fillId="19" borderId="39" xfId="0" applyFont="1" applyFill="1" applyBorder="1" applyAlignment="1" applyProtection="1">
      <alignment horizontal="center" vertical="center"/>
      <protection locked="0"/>
    </xf>
    <xf numFmtId="0" fontId="15" fillId="20" borderId="40" xfId="0" applyFont="1" applyFill="1" applyBorder="1" applyAlignment="1" applyProtection="1">
      <alignment horizontal="center" vertical="center"/>
      <protection locked="0"/>
    </xf>
    <xf numFmtId="0" fontId="15" fillId="18" borderId="38" xfId="0" applyFont="1" applyFill="1" applyBorder="1" applyAlignment="1" applyProtection="1">
      <alignment horizontal="center" vertical="center"/>
      <protection locked="0"/>
    </xf>
    <xf numFmtId="0" fontId="15" fillId="20" borderId="39" xfId="0" applyFont="1" applyFill="1" applyBorder="1" applyAlignment="1" applyProtection="1">
      <alignment horizontal="center" vertical="center"/>
      <protection locked="0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0" fillId="21" borderId="58" xfId="0" applyFont="1" applyFill="1" applyBorder="1" applyAlignment="1" applyProtection="1">
      <alignment horizontal="center"/>
      <protection locked="0"/>
    </xf>
    <xf numFmtId="0" fontId="20" fillId="21" borderId="59" xfId="0" applyFont="1" applyFill="1" applyBorder="1" applyAlignment="1" applyProtection="1">
      <alignment horizontal="center"/>
      <protection locked="0"/>
    </xf>
    <xf numFmtId="0" fontId="20" fillId="21" borderId="60" xfId="0" applyFont="1" applyFill="1" applyBorder="1" applyAlignment="1" applyProtection="1">
      <alignment horizontal="center"/>
      <protection locked="0"/>
    </xf>
    <xf numFmtId="0" fontId="2" fillId="22" borderId="38" xfId="0" applyFont="1" applyFill="1" applyBorder="1" applyAlignment="1" applyProtection="1">
      <alignment horizontal="center" vertical="center"/>
      <protection locked="0"/>
    </xf>
    <xf numFmtId="0" fontId="2" fillId="19" borderId="39" xfId="0" applyFont="1" applyFill="1" applyBorder="1" applyAlignment="1" applyProtection="1">
      <alignment horizontal="center" vertical="center"/>
      <protection locked="0"/>
    </xf>
    <xf numFmtId="0" fontId="2" fillId="20" borderId="40" xfId="0" applyFont="1" applyFill="1" applyBorder="1" applyAlignment="1" applyProtection="1">
      <alignment horizontal="center" vertical="center"/>
      <protection locked="0"/>
    </xf>
    <xf numFmtId="0" fontId="2" fillId="18" borderId="56" xfId="0" applyFont="1" applyFill="1" applyBorder="1" applyAlignment="1" applyProtection="1">
      <alignment horizontal="center" vertical="center"/>
      <protection locked="0"/>
    </xf>
    <xf numFmtId="0" fontId="2" fillId="0" borderId="55" xfId="0" applyFont="1" applyBorder="1"/>
    <xf numFmtId="0" fontId="1" fillId="0" borderId="55" xfId="0" applyFont="1" applyBorder="1" applyAlignment="1">
      <alignment horizontal="center"/>
    </xf>
    <xf numFmtId="0" fontId="1" fillId="0" borderId="62" xfId="0" applyFont="1" applyBorder="1"/>
    <xf numFmtId="0" fontId="20" fillId="16" borderId="63" xfId="0" applyFont="1" applyFill="1" applyBorder="1" applyAlignment="1">
      <alignment horizontal="center"/>
    </xf>
    <xf numFmtId="0" fontId="15" fillId="13" borderId="63" xfId="0" applyFont="1" applyFill="1" applyBorder="1" applyAlignment="1">
      <alignment horizontal="center" vertical="center"/>
    </xf>
    <xf numFmtId="0" fontId="15" fillId="13" borderId="22" xfId="0" applyFont="1" applyFill="1" applyBorder="1" applyAlignment="1">
      <alignment horizontal="center" vertical="center"/>
    </xf>
    <xf numFmtId="0" fontId="15" fillId="13" borderId="23" xfId="0" applyFont="1" applyFill="1" applyBorder="1" applyAlignment="1">
      <alignment horizontal="center" vertical="center"/>
    </xf>
    <xf numFmtId="0" fontId="15" fillId="13" borderId="38" xfId="0" applyFont="1" applyFill="1" applyBorder="1" applyAlignment="1">
      <alignment horizontal="center" vertical="center"/>
    </xf>
    <xf numFmtId="0" fontId="15" fillId="13" borderId="39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/>
    </xf>
    <xf numFmtId="0" fontId="2" fillId="13" borderId="54" xfId="0" applyFont="1" applyFill="1" applyBorder="1" applyAlignment="1">
      <alignment horizontal="center" vertical="center"/>
    </xf>
    <xf numFmtId="0" fontId="2" fillId="13" borderId="55" xfId="0" applyFont="1" applyFill="1" applyBorder="1" applyAlignment="1">
      <alignment horizontal="center" vertical="center"/>
    </xf>
    <xf numFmtId="0" fontId="20" fillId="15" borderId="58" xfId="0" applyFont="1" applyFill="1" applyBorder="1" applyAlignment="1">
      <alignment horizontal="center"/>
    </xf>
    <xf numFmtId="0" fontId="20" fillId="15" borderId="59" xfId="0" applyFont="1" applyFill="1" applyBorder="1" applyAlignment="1">
      <alignment horizontal="center"/>
    </xf>
    <xf numFmtId="0" fontId="20" fillId="15" borderId="60" xfId="0" applyFont="1" applyFill="1" applyBorder="1" applyAlignment="1">
      <alignment horizontal="center"/>
    </xf>
    <xf numFmtId="0" fontId="15" fillId="13" borderId="56" xfId="0" applyFont="1" applyFill="1" applyBorder="1" applyAlignment="1">
      <alignment horizontal="center" vertical="center"/>
    </xf>
    <xf numFmtId="0" fontId="15" fillId="13" borderId="55" xfId="0" applyFont="1" applyFill="1" applyBorder="1"/>
    <xf numFmtId="0" fontId="1" fillId="0" borderId="56" xfId="0" applyFont="1" applyBorder="1" applyAlignment="1">
      <alignment horizontal="center"/>
    </xf>
    <xf numFmtId="0" fontId="20" fillId="16" borderId="39" xfId="0" applyFont="1" applyFill="1" applyBorder="1" applyAlignment="1">
      <alignment horizontal="center"/>
    </xf>
    <xf numFmtId="0" fontId="2" fillId="13" borderId="56" xfId="0" applyFont="1" applyFill="1" applyBorder="1" applyAlignment="1">
      <alignment horizontal="center" vertical="center"/>
    </xf>
    <xf numFmtId="0" fontId="2" fillId="13" borderId="55" xfId="0" applyFont="1" applyFill="1" applyBorder="1"/>
    <xf numFmtId="0" fontId="15" fillId="23" borderId="39" xfId="0" applyFont="1" applyFill="1" applyBorder="1" applyAlignment="1" applyProtection="1">
      <alignment horizontal="center" vertical="center"/>
      <protection locked="0"/>
    </xf>
    <xf numFmtId="0" fontId="2" fillId="18" borderId="38" xfId="0" applyFont="1" applyFill="1" applyBorder="1" applyAlignment="1" applyProtection="1">
      <alignment horizontal="center" vertical="center"/>
      <protection locked="0"/>
    </xf>
    <xf numFmtId="0" fontId="2" fillId="2" borderId="40" xfId="0" applyFont="1" applyFill="1" applyBorder="1"/>
    <xf numFmtId="0" fontId="21" fillId="2" borderId="0" xfId="0" applyFont="1" applyFill="1"/>
    <xf numFmtId="164" fontId="19" fillId="0" borderId="56" xfId="0" applyNumberFormat="1" applyFont="1" applyBorder="1" applyAlignment="1">
      <alignment horizontal="center"/>
    </xf>
    <xf numFmtId="0" fontId="19" fillId="0" borderId="39" xfId="0" applyFont="1" applyBorder="1"/>
    <xf numFmtId="0" fontId="2" fillId="13" borderId="40" xfId="0" applyFont="1" applyFill="1" applyBorder="1"/>
    <xf numFmtId="0" fontId="2" fillId="2" borderId="4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18" fillId="13" borderId="40" xfId="0" applyFont="1" applyFill="1" applyBorder="1" applyAlignment="1">
      <alignment horizontal="center" vertical="center"/>
    </xf>
    <xf numFmtId="0" fontId="1" fillId="0" borderId="64" xfId="0" applyFont="1" applyBorder="1"/>
    <xf numFmtId="0" fontId="20" fillId="7" borderId="64" xfId="0" applyFont="1" applyFill="1" applyBorder="1" applyAlignment="1" applyProtection="1">
      <alignment horizontal="center"/>
      <protection locked="0"/>
    </xf>
    <xf numFmtId="0" fontId="15" fillId="18" borderId="64" xfId="0" applyFont="1" applyFill="1" applyBorder="1" applyAlignment="1" applyProtection="1">
      <alignment horizontal="center" vertical="center"/>
      <protection locked="0"/>
    </xf>
    <xf numFmtId="0" fontId="15" fillId="19" borderId="64" xfId="0" applyFont="1" applyFill="1" applyBorder="1" applyAlignment="1" applyProtection="1">
      <alignment horizontal="center" vertical="center"/>
      <protection locked="0"/>
    </xf>
    <xf numFmtId="0" fontId="15" fillId="20" borderId="65" xfId="0" applyFont="1" applyFill="1" applyBorder="1" applyAlignment="1" applyProtection="1">
      <alignment horizontal="center" vertical="center"/>
      <protection locked="0"/>
    </xf>
    <xf numFmtId="0" fontId="15" fillId="18" borderId="66" xfId="0" applyFont="1" applyFill="1" applyBorder="1" applyAlignment="1" applyProtection="1">
      <alignment horizontal="center" vertical="center"/>
      <protection locked="0"/>
    </xf>
    <xf numFmtId="0" fontId="22" fillId="20" borderId="65" xfId="0" applyFont="1" applyFill="1" applyBorder="1" applyAlignment="1" applyProtection="1">
      <alignment horizontal="center" vertical="center"/>
      <protection locked="0"/>
    </xf>
    <xf numFmtId="0" fontId="15" fillId="2" borderId="38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2" fillId="18" borderId="66" xfId="0" applyFont="1" applyFill="1" applyBorder="1" applyAlignment="1" applyProtection="1">
      <alignment horizontal="center" vertical="center"/>
      <protection locked="0"/>
    </xf>
    <xf numFmtId="0" fontId="2" fillId="19" borderId="64" xfId="0" applyFont="1" applyFill="1" applyBorder="1" applyAlignment="1" applyProtection="1">
      <alignment horizontal="center" vertical="center"/>
      <protection locked="0"/>
    </xf>
    <xf numFmtId="0" fontId="2" fillId="20" borderId="65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>
      <alignment horizontal="center" vertical="center"/>
    </xf>
    <xf numFmtId="164" fontId="1" fillId="0" borderId="67" xfId="0" applyNumberFormat="1" applyFont="1" applyBorder="1" applyAlignment="1">
      <alignment horizontal="center"/>
    </xf>
    <xf numFmtId="0" fontId="2" fillId="0" borderId="27" xfId="0" applyFont="1" applyBorder="1"/>
    <xf numFmtId="0" fontId="20" fillId="16" borderId="0" xfId="0" applyFont="1" applyFill="1" applyAlignment="1">
      <alignment horizontal="center"/>
    </xf>
    <xf numFmtId="0" fontId="23" fillId="13" borderId="21" xfId="0" applyFont="1" applyFill="1" applyBorder="1"/>
    <xf numFmtId="0" fontId="23" fillId="24" borderId="68" xfId="0" applyFont="1" applyFill="1" applyBorder="1"/>
    <xf numFmtId="0" fontId="23" fillId="24" borderId="42" xfId="0" applyFont="1" applyFill="1" applyBorder="1"/>
    <xf numFmtId="0" fontId="23" fillId="24" borderId="69" xfId="0" applyFont="1" applyFill="1" applyBorder="1"/>
    <xf numFmtId="0" fontId="23" fillId="24" borderId="43" xfId="0" applyFont="1" applyFill="1" applyBorder="1"/>
    <xf numFmtId="0" fontId="23" fillId="24" borderId="70" xfId="0" applyFont="1" applyFill="1" applyBorder="1"/>
    <xf numFmtId="0" fontId="1" fillId="24" borderId="52" xfId="0" applyFont="1" applyFill="1" applyBorder="1"/>
    <xf numFmtId="0" fontId="1" fillId="24" borderId="61" xfId="0" applyFont="1" applyFill="1" applyBorder="1" applyAlignment="1">
      <alignment horizontal="center" vertical="center"/>
    </xf>
    <xf numFmtId="0" fontId="19" fillId="0" borderId="22" xfId="0" applyFont="1" applyBorder="1"/>
    <xf numFmtId="0" fontId="20" fillId="16" borderId="22" xfId="0" applyFont="1" applyFill="1" applyBorder="1" applyAlignment="1">
      <alignment horizontal="center"/>
    </xf>
    <xf numFmtId="0" fontId="15" fillId="25" borderId="39" xfId="0" applyFont="1" applyFill="1" applyBorder="1" applyAlignment="1" applyProtection="1">
      <alignment horizontal="center" vertical="center"/>
      <protection locked="0"/>
    </xf>
    <xf numFmtId="0" fontId="15" fillId="26" borderId="21" xfId="0" applyFont="1" applyFill="1" applyBorder="1" applyAlignment="1" applyProtection="1">
      <alignment horizontal="center" vertical="center"/>
      <protection locked="0"/>
    </xf>
    <xf numFmtId="0" fontId="15" fillId="27" borderId="22" xfId="0" applyFont="1" applyFill="1" applyBorder="1" applyAlignment="1" applyProtection="1">
      <alignment horizontal="center" vertical="center"/>
      <protection locked="0"/>
    </xf>
    <xf numFmtId="0" fontId="15" fillId="28" borderId="23" xfId="0" applyFont="1" applyFill="1" applyBorder="1" applyAlignment="1" applyProtection="1">
      <alignment horizontal="center" vertical="center"/>
      <protection locked="0"/>
    </xf>
    <xf numFmtId="0" fontId="15" fillId="28" borderId="24" xfId="0" applyFont="1" applyFill="1" applyBorder="1" applyAlignment="1" applyProtection="1">
      <alignment horizontal="center" vertical="center"/>
      <protection locked="0"/>
    </xf>
    <xf numFmtId="0" fontId="15" fillId="26" borderId="25" xfId="0" applyFont="1" applyFill="1" applyBorder="1" applyAlignment="1" applyProtection="1">
      <alignment horizontal="center" vertical="center"/>
      <protection locked="0"/>
    </xf>
    <xf numFmtId="0" fontId="2" fillId="16" borderId="54" xfId="0" applyFont="1" applyFill="1" applyBorder="1" applyAlignment="1">
      <alignment horizontal="center" vertical="center"/>
    </xf>
    <xf numFmtId="0" fontId="2" fillId="16" borderId="55" xfId="0" applyFont="1" applyFill="1" applyBorder="1" applyAlignment="1">
      <alignment horizontal="center" vertical="center"/>
    </xf>
    <xf numFmtId="0" fontId="19" fillId="26" borderId="38" xfId="0" applyFont="1" applyFill="1" applyBorder="1" applyAlignment="1" applyProtection="1">
      <alignment horizontal="center" vertical="center"/>
      <protection locked="0"/>
    </xf>
    <xf numFmtId="0" fontId="19" fillId="27" borderId="39" xfId="0" applyFont="1" applyFill="1" applyBorder="1" applyAlignment="1" applyProtection="1">
      <alignment horizontal="center" vertical="center"/>
      <protection locked="0"/>
    </xf>
    <xf numFmtId="0" fontId="19" fillId="28" borderId="40" xfId="0" applyFont="1" applyFill="1" applyBorder="1" applyAlignment="1" applyProtection="1">
      <alignment horizontal="center" vertical="center"/>
      <protection locked="0"/>
    </xf>
    <xf numFmtId="0" fontId="19" fillId="16" borderId="54" xfId="0" applyFont="1" applyFill="1" applyBorder="1" applyAlignment="1">
      <alignment horizontal="center" vertical="center"/>
    </xf>
    <xf numFmtId="0" fontId="19" fillId="15" borderId="40" xfId="0" applyFont="1" applyFill="1" applyBorder="1" applyAlignment="1">
      <alignment horizontal="center" vertical="center"/>
    </xf>
    <xf numFmtId="0" fontId="15" fillId="18" borderId="21" xfId="0" applyFont="1" applyFill="1" applyBorder="1" applyAlignment="1" applyProtection="1">
      <alignment horizontal="center" vertical="center"/>
      <protection locked="0"/>
    </xf>
    <xf numFmtId="0" fontId="15" fillId="19" borderId="22" xfId="0" applyFont="1" applyFill="1" applyBorder="1" applyAlignment="1" applyProtection="1">
      <alignment horizontal="center" vertical="center"/>
      <protection locked="0"/>
    </xf>
    <xf numFmtId="0" fontId="15" fillId="20" borderId="23" xfId="0" applyFont="1" applyFill="1" applyBorder="1" applyAlignment="1" applyProtection="1">
      <alignment horizontal="center" vertical="center"/>
      <protection locked="0"/>
    </xf>
    <xf numFmtId="0" fontId="15" fillId="20" borderId="24" xfId="0" applyFont="1" applyFill="1" applyBorder="1" applyAlignment="1" applyProtection="1">
      <alignment horizontal="center" vertical="center"/>
      <protection locked="0"/>
    </xf>
    <xf numFmtId="0" fontId="15" fillId="18" borderId="25" xfId="0" applyFont="1" applyFill="1" applyBorder="1" applyAlignment="1" applyProtection="1">
      <alignment horizontal="center" vertical="center"/>
      <protection locked="0"/>
    </xf>
    <xf numFmtId="0" fontId="15" fillId="13" borderId="21" xfId="0" applyFont="1" applyFill="1" applyBorder="1" applyAlignment="1">
      <alignment horizontal="center" vertical="center"/>
    </xf>
    <xf numFmtId="0" fontId="15" fillId="13" borderId="24" xfId="0" applyFont="1" applyFill="1" applyBorder="1" applyAlignment="1">
      <alignment horizontal="center" vertical="center"/>
    </xf>
    <xf numFmtId="0" fontId="15" fillId="13" borderId="25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5" fillId="18" borderId="72" xfId="0" applyFont="1" applyFill="1" applyBorder="1" applyAlignment="1" applyProtection="1">
      <alignment horizontal="center" vertical="center"/>
      <protection locked="0"/>
    </xf>
    <xf numFmtId="0" fontId="15" fillId="19" borderId="73" xfId="0" applyFont="1" applyFill="1" applyBorder="1" applyAlignment="1" applyProtection="1">
      <alignment horizontal="center" vertical="center"/>
      <protection locked="0"/>
    </xf>
    <xf numFmtId="0" fontId="15" fillId="20" borderId="74" xfId="0" applyFont="1" applyFill="1" applyBorder="1" applyAlignment="1" applyProtection="1">
      <alignment horizontal="center" vertical="center"/>
      <protection locked="0"/>
    </xf>
    <xf numFmtId="0" fontId="15" fillId="20" borderId="75" xfId="0" applyFont="1" applyFill="1" applyBorder="1" applyAlignment="1" applyProtection="1">
      <alignment horizontal="center" vertical="center"/>
      <protection locked="0"/>
    </xf>
    <xf numFmtId="0" fontId="15" fillId="18" borderId="76" xfId="0" applyFont="1" applyFill="1" applyBorder="1" applyAlignment="1" applyProtection="1">
      <alignment horizontal="center" vertical="center"/>
      <protection locked="0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164" fontId="19" fillId="0" borderId="25" xfId="0" applyNumberFormat="1" applyFont="1" applyBorder="1" applyAlignment="1">
      <alignment horizontal="center"/>
    </xf>
    <xf numFmtId="0" fontId="2" fillId="13" borderId="53" xfId="0" applyFont="1" applyFill="1" applyBorder="1" applyAlignment="1">
      <alignment horizontal="center" vertical="center"/>
    </xf>
    <xf numFmtId="0" fontId="2" fillId="13" borderId="41" xfId="0" applyFont="1" applyFill="1" applyBorder="1" applyAlignment="1">
      <alignment horizontal="center" vertical="center"/>
    </xf>
    <xf numFmtId="164" fontId="1" fillId="0" borderId="56" xfId="0" applyNumberFormat="1" applyFont="1" applyBorder="1" applyAlignment="1">
      <alignment horizontal="center"/>
    </xf>
    <xf numFmtId="0" fontId="15" fillId="18" borderId="56" xfId="0" applyFont="1" applyFill="1" applyBorder="1" applyAlignment="1" applyProtection="1">
      <alignment horizontal="center" vertical="center"/>
      <protection locked="0"/>
    </xf>
    <xf numFmtId="0" fontId="24" fillId="2" borderId="39" xfId="0" applyFont="1" applyFill="1" applyBorder="1" applyProtection="1">
      <protection locked="0"/>
    </xf>
    <xf numFmtId="0" fontId="2" fillId="18" borderId="72" xfId="0" applyFont="1" applyFill="1" applyBorder="1" applyAlignment="1" applyProtection="1">
      <alignment horizontal="center" vertical="center"/>
      <protection locked="0"/>
    </xf>
    <xf numFmtId="0" fontId="2" fillId="19" borderId="73" xfId="0" applyFont="1" applyFill="1" applyBorder="1" applyAlignment="1" applyProtection="1">
      <alignment horizontal="center" vertical="center"/>
      <protection locked="0"/>
    </xf>
    <xf numFmtId="0" fontId="2" fillId="20" borderId="74" xfId="0" applyFont="1" applyFill="1" applyBorder="1" applyAlignment="1" applyProtection="1">
      <alignment horizontal="center" vertical="center"/>
      <protection locked="0"/>
    </xf>
    <xf numFmtId="0" fontId="2" fillId="18" borderId="76" xfId="0" applyFont="1" applyFill="1" applyBorder="1" applyAlignment="1" applyProtection="1">
      <alignment horizontal="center" vertical="center"/>
      <protection locked="0"/>
    </xf>
    <xf numFmtId="0" fontId="2" fillId="2" borderId="74" xfId="0" applyFont="1" applyFill="1" applyBorder="1" applyAlignment="1">
      <alignment horizontal="center" vertical="center"/>
    </xf>
    <xf numFmtId="0" fontId="2" fillId="18" borderId="21" xfId="0" applyFont="1" applyFill="1" applyBorder="1" applyAlignment="1" applyProtection="1">
      <alignment horizontal="center" vertical="center"/>
      <protection locked="0"/>
    </xf>
    <xf numFmtId="0" fontId="2" fillId="19" borderId="22" xfId="0" applyFont="1" applyFill="1" applyBorder="1" applyAlignment="1" applyProtection="1">
      <alignment horizontal="center" vertical="center"/>
      <protection locked="0"/>
    </xf>
    <xf numFmtId="0" fontId="2" fillId="20" borderId="23" xfId="0" applyFont="1" applyFill="1" applyBorder="1" applyAlignment="1" applyProtection="1">
      <alignment horizontal="center" vertical="center"/>
      <protection locked="0"/>
    </xf>
    <xf numFmtId="0" fontId="2" fillId="18" borderId="25" xfId="0" applyFont="1" applyFill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>
      <alignment horizontal="center" vertical="center"/>
    </xf>
    <xf numFmtId="0" fontId="25" fillId="18" borderId="56" xfId="0" applyFont="1" applyFill="1" applyBorder="1" applyAlignment="1" applyProtection="1">
      <alignment horizontal="center" vertical="center"/>
      <protection locked="0"/>
    </xf>
    <xf numFmtId="0" fontId="15" fillId="18" borderId="71" xfId="0" applyFont="1" applyFill="1" applyBorder="1" applyAlignment="1" applyProtection="1">
      <alignment horizontal="center" vertical="center"/>
      <protection locked="0"/>
    </xf>
    <xf numFmtId="0" fontId="2" fillId="18" borderId="71" xfId="0" applyFont="1" applyFill="1" applyBorder="1" applyAlignment="1" applyProtection="1">
      <alignment horizontal="center" vertical="center"/>
      <protection locked="0"/>
    </xf>
    <xf numFmtId="164" fontId="1" fillId="0" borderId="54" xfId="0" applyNumberFormat="1" applyFont="1" applyBorder="1" applyAlignment="1">
      <alignment horizontal="center"/>
    </xf>
    <xf numFmtId="0" fontId="23" fillId="24" borderId="38" xfId="0" applyFont="1" applyFill="1" applyBorder="1" applyAlignment="1">
      <alignment horizontal="center" vertical="center"/>
    </xf>
    <xf numFmtId="0" fontId="1" fillId="24" borderId="21" xfId="0" applyFont="1" applyFill="1" applyBorder="1" applyAlignment="1">
      <alignment horizontal="center" vertical="center"/>
    </xf>
    <xf numFmtId="0" fontId="2" fillId="24" borderId="22" xfId="0" applyFont="1" applyFill="1" applyBorder="1" applyAlignment="1">
      <alignment horizontal="center" vertical="center"/>
    </xf>
    <xf numFmtId="0" fontId="2" fillId="24" borderId="23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horizontal="center" vertical="center"/>
    </xf>
    <xf numFmtId="0" fontId="2" fillId="24" borderId="25" xfId="0" applyFont="1" applyFill="1" applyBorder="1" applyAlignment="1">
      <alignment horizontal="center" vertical="center"/>
    </xf>
    <xf numFmtId="0" fontId="2" fillId="24" borderId="53" xfId="0" applyFont="1" applyFill="1" applyBorder="1" applyAlignment="1">
      <alignment horizontal="center" vertical="center"/>
    </xf>
    <xf numFmtId="0" fontId="2" fillId="24" borderId="41" xfId="0" applyFont="1" applyFill="1" applyBorder="1" applyAlignment="1">
      <alignment horizontal="center" vertical="center"/>
    </xf>
    <xf numFmtId="0" fontId="2" fillId="26" borderId="21" xfId="0" applyFont="1" applyFill="1" applyBorder="1" applyAlignment="1" applyProtection="1">
      <alignment horizontal="center" vertical="center"/>
      <protection locked="0"/>
    </xf>
    <xf numFmtId="0" fontId="2" fillId="27" borderId="22" xfId="0" applyFont="1" applyFill="1" applyBorder="1" applyAlignment="1" applyProtection="1">
      <alignment horizontal="center" vertical="center"/>
      <protection locked="0"/>
    </xf>
    <xf numFmtId="0" fontId="2" fillId="28" borderId="23" xfId="0" applyFont="1" applyFill="1" applyBorder="1" applyAlignment="1" applyProtection="1">
      <alignment horizontal="center" vertical="center"/>
      <protection locked="0"/>
    </xf>
    <xf numFmtId="0" fontId="2" fillId="26" borderId="25" xfId="0" applyFont="1" applyFill="1" applyBorder="1" applyAlignment="1" applyProtection="1">
      <alignment horizontal="center" vertical="center"/>
      <protection locked="0"/>
    </xf>
    <xf numFmtId="0" fontId="2" fillId="26" borderId="38" xfId="0" applyFont="1" applyFill="1" applyBorder="1" applyAlignment="1" applyProtection="1">
      <alignment horizontal="center" vertical="center"/>
      <protection locked="0"/>
    </xf>
    <xf numFmtId="0" fontId="2" fillId="27" borderId="39" xfId="0" applyFont="1" applyFill="1" applyBorder="1" applyAlignment="1" applyProtection="1">
      <alignment horizontal="center" vertical="center"/>
      <protection locked="0"/>
    </xf>
    <xf numFmtId="0" fontId="2" fillId="28" borderId="40" xfId="0" applyFont="1" applyFill="1" applyBorder="1" applyAlignment="1" applyProtection="1">
      <alignment horizontal="center" vertical="center"/>
      <protection locked="0"/>
    </xf>
    <xf numFmtId="0" fontId="2" fillId="26" borderId="56" xfId="0" applyFont="1" applyFill="1" applyBorder="1" applyAlignment="1" applyProtection="1">
      <alignment horizontal="center" vertical="center"/>
      <protection locked="0"/>
    </xf>
    <xf numFmtId="0" fontId="2" fillId="15" borderId="40" xfId="0" applyFont="1" applyFill="1" applyBorder="1" applyAlignment="1">
      <alignment horizontal="center" vertical="center"/>
    </xf>
    <xf numFmtId="0" fontId="23" fillId="13" borderId="21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23" fillId="25" borderId="39" xfId="0" applyFont="1" applyFill="1" applyBorder="1" applyAlignment="1" applyProtection="1">
      <alignment horizontal="center" vertical="center"/>
      <protection locked="0"/>
    </xf>
    <xf numFmtId="0" fontId="1" fillId="26" borderId="38" xfId="0" applyFont="1" applyFill="1" applyBorder="1" applyAlignment="1" applyProtection="1">
      <alignment horizontal="center" vertical="center"/>
      <protection locked="0"/>
    </xf>
    <xf numFmtId="0" fontId="1" fillId="26" borderId="56" xfId="0" applyFont="1" applyFill="1" applyBorder="1" applyAlignment="1" applyProtection="1">
      <alignment horizontal="center" vertical="center"/>
      <protection locked="0"/>
    </xf>
    <xf numFmtId="0" fontId="23" fillId="17" borderId="39" xfId="0" applyFont="1" applyFill="1" applyBorder="1" applyAlignment="1" applyProtection="1">
      <alignment horizontal="center" vertical="center"/>
      <protection locked="0"/>
    </xf>
    <xf numFmtId="0" fontId="1" fillId="18" borderId="38" xfId="0" applyFont="1" applyFill="1" applyBorder="1" applyAlignment="1" applyProtection="1">
      <alignment horizontal="center" vertical="center"/>
      <protection locked="0"/>
    </xf>
    <xf numFmtId="0" fontId="1" fillId="18" borderId="56" xfId="0" applyFont="1" applyFill="1" applyBorder="1" applyAlignment="1" applyProtection="1">
      <alignment horizontal="center" vertical="center"/>
      <protection locked="0"/>
    </xf>
    <xf numFmtId="164" fontId="1" fillId="0" borderId="71" xfId="0" applyNumberFormat="1" applyFont="1" applyBorder="1" applyAlignment="1">
      <alignment horizontal="center"/>
    </xf>
    <xf numFmtId="0" fontId="23" fillId="17" borderId="64" xfId="0" applyFont="1" applyFill="1" applyBorder="1" applyAlignment="1" applyProtection="1">
      <alignment horizontal="center" vertical="center"/>
      <protection locked="0"/>
    </xf>
    <xf numFmtId="0" fontId="1" fillId="18" borderId="66" xfId="0" applyFont="1" applyFill="1" applyBorder="1" applyAlignment="1" applyProtection="1">
      <alignment horizontal="center" vertical="center"/>
      <protection locked="0"/>
    </xf>
    <xf numFmtId="0" fontId="1" fillId="18" borderId="71" xfId="0" applyFont="1" applyFill="1" applyBorder="1" applyAlignment="1" applyProtection="1">
      <alignment horizontal="center" vertical="center"/>
      <protection locked="0"/>
    </xf>
    <xf numFmtId="0" fontId="1" fillId="2" borderId="79" xfId="0" applyFont="1" applyFill="1" applyBorder="1" applyProtection="1">
      <protection locked="0"/>
    </xf>
    <xf numFmtId="0" fontId="1" fillId="2" borderId="80" xfId="0" applyFont="1" applyFill="1" applyBorder="1" applyProtection="1">
      <protection locked="0"/>
    </xf>
    <xf numFmtId="0" fontId="1" fillId="2" borderId="81" xfId="0" applyFont="1" applyFill="1" applyBorder="1" applyProtection="1">
      <protection locked="0"/>
    </xf>
    <xf numFmtId="0" fontId="20" fillId="21" borderId="82" xfId="0" applyFont="1" applyFill="1" applyBorder="1" applyAlignment="1" applyProtection="1">
      <alignment horizontal="center"/>
      <protection locked="0"/>
    </xf>
    <xf numFmtId="0" fontId="20" fillId="21" borderId="83" xfId="0" applyFont="1" applyFill="1" applyBorder="1" applyAlignment="1" applyProtection="1">
      <alignment horizontal="center"/>
      <protection locked="0"/>
    </xf>
    <xf numFmtId="0" fontId="20" fillId="21" borderId="84" xfId="0" applyFont="1" applyFill="1" applyBorder="1" applyAlignment="1" applyProtection="1">
      <alignment horizontal="center"/>
      <protection locked="0"/>
    </xf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85" xfId="0" applyFont="1" applyBorder="1" applyAlignment="1">
      <alignment horizontal="right"/>
    </xf>
    <xf numFmtId="0" fontId="2" fillId="0" borderId="86" xfId="0" applyFont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2" borderId="87" xfId="0" applyFont="1" applyFill="1" applyBorder="1" applyAlignment="1">
      <alignment horizontal="center" vertical="center"/>
    </xf>
    <xf numFmtId="0" fontId="2" fillId="29" borderId="86" xfId="0" applyFont="1" applyFill="1" applyBorder="1" applyAlignment="1">
      <alignment horizontal="center" vertical="center"/>
    </xf>
    <xf numFmtId="0" fontId="2" fillId="29" borderId="88" xfId="0" applyFont="1" applyFill="1" applyBorder="1" applyAlignment="1">
      <alignment horizontal="center" vertical="center"/>
    </xf>
    <xf numFmtId="0" fontId="1" fillId="30" borderId="0" xfId="0" applyFont="1" applyFill="1"/>
    <xf numFmtId="0" fontId="1" fillId="3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89" xfId="0" applyFont="1" applyBorder="1"/>
    <xf numFmtId="0" fontId="2" fillId="0" borderId="28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8" fillId="0" borderId="72" xfId="0" applyFont="1" applyBorder="1"/>
    <xf numFmtId="0" fontId="8" fillId="0" borderId="0" xfId="0" applyFont="1"/>
    <xf numFmtId="0" fontId="8" fillId="0" borderId="90" xfId="0" applyFont="1" applyBorder="1"/>
    <xf numFmtId="0" fontId="1" fillId="0" borderId="52" xfId="0" applyFont="1" applyBorder="1" applyAlignment="1">
      <alignment horizontal="center"/>
    </xf>
    <xf numFmtId="0" fontId="8" fillId="0" borderId="91" xfId="0" applyFont="1" applyBorder="1"/>
    <xf numFmtId="0" fontId="8" fillId="0" borderId="68" xfId="0" applyFont="1" applyBorder="1"/>
    <xf numFmtId="0" fontId="1" fillId="0" borderId="91" xfId="0" applyFont="1" applyBorder="1" applyAlignment="1">
      <alignment horizontal="center"/>
    </xf>
    <xf numFmtId="0" fontId="8" fillId="0" borderId="92" xfId="0" applyFont="1" applyBorder="1"/>
    <xf numFmtId="0" fontId="1" fillId="0" borderId="0" xfId="0" applyFont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2" borderId="77" xfId="0" applyFont="1" applyFill="1" applyBorder="1" applyAlignment="1">
      <alignment horizontal="center"/>
    </xf>
    <xf numFmtId="0" fontId="8" fillId="0" borderId="20" xfId="0" applyFont="1" applyBorder="1"/>
    <xf numFmtId="0" fontId="8" fillId="0" borderId="66" xfId="0" applyFont="1" applyBorder="1"/>
    <xf numFmtId="0" fontId="1" fillId="0" borderId="54" xfId="0" applyFont="1" applyBorder="1" applyAlignment="1">
      <alignment horizontal="center"/>
    </xf>
    <xf numFmtId="0" fontId="8" fillId="0" borderId="62" xfId="0" applyFont="1" applyBorder="1"/>
    <xf numFmtId="0" fontId="8" fillId="0" borderId="38" xfId="0" applyFont="1" applyBorder="1"/>
    <xf numFmtId="0" fontId="1" fillId="0" borderId="62" xfId="0" applyFont="1" applyBorder="1" applyAlignment="1">
      <alignment horizontal="center"/>
    </xf>
    <xf numFmtId="0" fontId="8" fillId="0" borderId="93" xfId="0" applyFont="1" applyBorder="1"/>
    <xf numFmtId="0" fontId="1" fillId="0" borderId="91" xfId="0" applyFont="1" applyBorder="1" applyAlignment="1">
      <alignment horizontal="center"/>
    </xf>
    <xf numFmtId="0" fontId="1" fillId="0" borderId="55" xfId="0" applyFont="1" applyBorder="1" applyAlignment="1">
      <alignment horizontal="center" vertical="center"/>
    </xf>
    <xf numFmtId="0" fontId="1" fillId="2" borderId="94" xfId="0" applyFont="1" applyFill="1" applyBorder="1" applyAlignment="1">
      <alignment horizontal="center"/>
    </xf>
    <xf numFmtId="0" fontId="8" fillId="0" borderId="95" xfId="0" applyFont="1" applyBorder="1"/>
    <xf numFmtId="0" fontId="8" fillId="0" borderId="96" xfId="0" applyFont="1" applyBorder="1"/>
    <xf numFmtId="0" fontId="1" fillId="2" borderId="12" xfId="0" applyFont="1" applyFill="1" applyBorder="1" applyAlignment="1">
      <alignment horizontal="center"/>
    </xf>
    <xf numFmtId="0" fontId="1" fillId="0" borderId="94" xfId="0" applyFont="1" applyBorder="1" applyAlignment="1">
      <alignment horizontal="center"/>
    </xf>
    <xf numFmtId="0" fontId="1" fillId="0" borderId="95" xfId="0" applyFont="1" applyBorder="1" applyAlignment="1">
      <alignment horizontal="center"/>
    </xf>
    <xf numFmtId="0" fontId="8" fillId="0" borderId="97" xfId="0" applyFont="1" applyBorder="1"/>
    <xf numFmtId="0" fontId="1" fillId="0" borderId="95" xfId="0" applyFont="1" applyBorder="1" applyAlignment="1">
      <alignment horizontal="center"/>
    </xf>
    <xf numFmtId="0" fontId="1" fillId="0" borderId="9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9" fillId="30" borderId="0" xfId="0" applyFont="1" applyFill="1" applyAlignment="1">
      <alignment horizontal="center" vertical="center" textRotation="90"/>
    </xf>
    <xf numFmtId="0" fontId="26" fillId="30" borderId="0" xfId="0" applyFont="1" applyFill="1" applyAlignment="1">
      <alignment horizontal="right"/>
    </xf>
    <xf numFmtId="0" fontId="26" fillId="31" borderId="0" xfId="0" applyFont="1" applyFill="1" applyAlignment="1">
      <alignment horizontal="center"/>
    </xf>
    <xf numFmtId="0" fontId="26" fillId="31" borderId="99" xfId="0" applyFont="1" applyFill="1" applyBorder="1" applyAlignment="1">
      <alignment horizontal="center"/>
    </xf>
    <xf numFmtId="0" fontId="26" fillId="31" borderId="10" xfId="0" applyFont="1" applyFill="1" applyBorder="1" applyAlignment="1">
      <alignment horizontal="center"/>
    </xf>
    <xf numFmtId="0" fontId="26" fillId="31" borderId="11" xfId="0" applyFont="1" applyFill="1" applyBorder="1" applyAlignment="1">
      <alignment horizontal="center"/>
    </xf>
    <xf numFmtId="0" fontId="26" fillId="18" borderId="0" xfId="0" applyFont="1" applyFill="1" applyAlignment="1">
      <alignment horizontal="center"/>
    </xf>
    <xf numFmtId="0" fontId="26" fillId="18" borderId="17" xfId="0" applyFont="1" applyFill="1" applyBorder="1" applyAlignment="1">
      <alignment horizontal="center"/>
    </xf>
    <xf numFmtId="0" fontId="26" fillId="19" borderId="12" xfId="0" applyFont="1" applyFill="1" applyBorder="1" applyAlignment="1">
      <alignment horizontal="center"/>
    </xf>
    <xf numFmtId="0" fontId="26" fillId="20" borderId="99" xfId="0" applyFont="1" applyFill="1" applyBorder="1" applyAlignment="1">
      <alignment horizontal="center"/>
    </xf>
    <xf numFmtId="0" fontId="26" fillId="20" borderId="10" xfId="0" applyFont="1" applyFill="1" applyBorder="1" applyAlignment="1">
      <alignment horizontal="center"/>
    </xf>
    <xf numFmtId="0" fontId="26" fillId="20" borderId="11" xfId="0" applyFont="1" applyFill="1" applyBorder="1" applyAlignment="1">
      <alignment horizontal="center"/>
    </xf>
    <xf numFmtId="0" fontId="27" fillId="32" borderId="0" xfId="0" applyFont="1" applyFill="1" applyAlignment="1">
      <alignment horizontal="center"/>
    </xf>
    <xf numFmtId="0" fontId="27" fillId="32" borderId="53" xfId="0" applyFont="1" applyFill="1" applyBorder="1" applyAlignment="1">
      <alignment horizontal="center"/>
    </xf>
    <xf numFmtId="0" fontId="8" fillId="0" borderId="63" xfId="0" applyFont="1" applyBorder="1"/>
    <xf numFmtId="0" fontId="8" fillId="0" borderId="100" xfId="0" applyFont="1" applyBorder="1"/>
    <xf numFmtId="0" fontId="27" fillId="32" borderId="63" xfId="0" applyFont="1" applyFill="1" applyBorder="1" applyAlignment="1">
      <alignment horizontal="center"/>
    </xf>
    <xf numFmtId="0" fontId="27" fillId="32" borderId="99" xfId="0" applyFont="1" applyFill="1" applyBorder="1" applyAlignment="1">
      <alignment horizontal="center"/>
    </xf>
    <xf numFmtId="0" fontId="27" fillId="32" borderId="10" xfId="0" applyFont="1" applyFill="1" applyBorder="1" applyAlignment="1">
      <alignment horizontal="center"/>
    </xf>
    <xf numFmtId="0" fontId="27" fillId="32" borderId="11" xfId="0" applyFont="1" applyFill="1" applyBorder="1" applyAlignment="1">
      <alignment horizontal="center"/>
    </xf>
    <xf numFmtId="0" fontId="27" fillId="32" borderId="77" xfId="0" applyFont="1" applyFill="1" applyBorder="1" applyAlignment="1">
      <alignment horizontal="center"/>
    </xf>
    <xf numFmtId="0" fontId="8" fillId="0" borderId="101" xfId="0" applyFont="1" applyBorder="1"/>
    <xf numFmtId="0" fontId="27" fillId="32" borderId="20" xfId="0" applyFont="1" applyFill="1" applyBorder="1" applyAlignment="1">
      <alignment horizontal="center"/>
    </xf>
    <xf numFmtId="0" fontId="27" fillId="32" borderId="6" xfId="0" applyFont="1" applyFill="1" applyBorder="1" applyAlignment="1">
      <alignment horizontal="center"/>
    </xf>
    <xf numFmtId="0" fontId="27" fillId="32" borderId="0" xfId="0" applyFont="1" applyFill="1" applyAlignment="1">
      <alignment horizontal="center"/>
    </xf>
    <xf numFmtId="0" fontId="27" fillId="32" borderId="15" xfId="0" applyFont="1" applyFill="1" applyBorder="1" applyAlignment="1">
      <alignment horizontal="center"/>
    </xf>
    <xf numFmtId="0" fontId="26" fillId="30" borderId="0" xfId="0" applyFont="1" applyFill="1" applyAlignment="1">
      <alignment horizontal="center"/>
    </xf>
    <xf numFmtId="0" fontId="2" fillId="30" borderId="3" xfId="0" applyFont="1" applyFill="1" applyBorder="1" applyAlignment="1">
      <alignment horizontal="center" wrapText="1"/>
    </xf>
    <xf numFmtId="0" fontId="8" fillId="0" borderId="85" xfId="0" applyFont="1" applyBorder="1"/>
    <xf numFmtId="0" fontId="2" fillId="30" borderId="102" xfId="0" applyFont="1" applyFill="1" applyBorder="1" applyAlignment="1">
      <alignment horizontal="center"/>
    </xf>
    <xf numFmtId="0" fontId="2" fillId="30" borderId="4" xfId="0" applyFont="1" applyFill="1" applyBorder="1" applyAlignment="1">
      <alignment horizontal="center"/>
    </xf>
    <xf numFmtId="0" fontId="2" fillId="30" borderId="50" xfId="0" applyFont="1" applyFill="1" applyBorder="1" applyAlignment="1">
      <alignment horizontal="center"/>
    </xf>
    <xf numFmtId="0" fontId="8" fillId="0" borderId="47" xfId="0" applyFont="1" applyBorder="1"/>
    <xf numFmtId="0" fontId="19" fillId="30" borderId="99" xfId="0" applyFont="1" applyFill="1" applyBorder="1" applyAlignment="1">
      <alignment horizontal="center"/>
    </xf>
    <xf numFmtId="0" fontId="19" fillId="30" borderId="11" xfId="0" applyFont="1" applyFill="1" applyBorder="1" applyAlignment="1">
      <alignment horizontal="center"/>
    </xf>
    <xf numFmtId="0" fontId="27" fillId="33" borderId="0" xfId="0" applyFont="1" applyFill="1" applyAlignment="1">
      <alignment horizontal="center"/>
    </xf>
    <xf numFmtId="0" fontId="27" fillId="33" borderId="3" xfId="0" applyFont="1" applyFill="1" applyBorder="1" applyAlignment="1">
      <alignment horizontal="center"/>
    </xf>
    <xf numFmtId="0" fontId="8" fillId="34" borderId="4" xfId="0" applyFont="1" applyFill="1" applyBorder="1"/>
    <xf numFmtId="0" fontId="8" fillId="34" borderId="85" xfId="0" applyFont="1" applyFill="1" applyBorder="1"/>
    <xf numFmtId="0" fontId="27" fillId="33" borderId="102" xfId="0" applyFont="1" applyFill="1" applyBorder="1" applyAlignment="1">
      <alignment horizontal="center"/>
    </xf>
    <xf numFmtId="0" fontId="8" fillId="34" borderId="5" xfId="0" applyFont="1" applyFill="1" applyBorder="1"/>
    <xf numFmtId="0" fontId="27" fillId="33" borderId="4" xfId="0" applyFont="1" applyFill="1" applyBorder="1" applyAlignment="1">
      <alignment horizontal="center"/>
    </xf>
    <xf numFmtId="0" fontId="27" fillId="33" borderId="6" xfId="0" applyFont="1" applyFill="1" applyBorder="1" applyAlignment="1">
      <alignment horizontal="center"/>
    </xf>
    <xf numFmtId="0" fontId="8" fillId="34" borderId="0" xfId="0" applyFont="1" applyFill="1"/>
    <xf numFmtId="0" fontId="8" fillId="34" borderId="72" xfId="0" applyFont="1" applyFill="1" applyBorder="1"/>
    <xf numFmtId="0" fontId="27" fillId="33" borderId="75" xfId="0" applyFont="1" applyFill="1" applyBorder="1" applyAlignment="1">
      <alignment horizontal="center"/>
    </xf>
    <xf numFmtId="0" fontId="1" fillId="35" borderId="7" xfId="0" applyFont="1" applyFill="1" applyBorder="1" applyAlignment="1">
      <alignment horizontal="center"/>
    </xf>
    <xf numFmtId="0" fontId="1" fillId="35" borderId="9" xfId="0" applyFont="1" applyFill="1" applyBorder="1" applyAlignment="1">
      <alignment horizontal="center"/>
    </xf>
    <xf numFmtId="0" fontId="27" fillId="33" borderId="17" xfId="0" applyFont="1" applyFill="1" applyBorder="1" applyAlignment="1">
      <alignment horizontal="center"/>
    </xf>
    <xf numFmtId="0" fontId="8" fillId="34" borderId="12" xfId="0" applyFont="1" applyFill="1" applyBorder="1"/>
    <xf numFmtId="0" fontId="8" fillId="34" borderId="16" xfId="0" applyFont="1" applyFill="1" applyBorder="1"/>
    <xf numFmtId="0" fontId="27" fillId="33" borderId="12" xfId="0" applyFont="1" applyFill="1" applyBorder="1" applyAlignment="1">
      <alignment horizontal="center"/>
    </xf>
    <xf numFmtId="0" fontId="27" fillId="33" borderId="99" xfId="0" applyFont="1" applyFill="1" applyBorder="1" applyAlignment="1">
      <alignment horizontal="center"/>
    </xf>
    <xf numFmtId="0" fontId="27" fillId="33" borderId="10" xfId="0" applyFont="1" applyFill="1" applyBorder="1" applyAlignment="1">
      <alignment horizontal="center"/>
    </xf>
    <xf numFmtId="0" fontId="27" fillId="33" borderId="11" xfId="0" applyFont="1" applyFill="1" applyBorder="1" applyAlignment="1">
      <alignment horizontal="center"/>
    </xf>
    <xf numFmtId="0" fontId="2" fillId="0" borderId="0" xfId="0" applyFont="1" applyAlignment="1">
      <alignment vertical="center" textRotation="90" wrapText="1"/>
    </xf>
    <xf numFmtId="0" fontId="28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textRotation="90" wrapText="1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47625</xdr:rowOff>
    </xdr:from>
    <xdr:ext cx="2390775" cy="1257300"/>
    <xdr:pic>
      <xdr:nvPicPr>
        <xdr:cNvPr id="2" name="image1.png">
          <a:extLst>
            <a:ext uri="{FF2B5EF4-FFF2-40B4-BE49-F238E27FC236}">
              <a16:creationId xmlns:a16="http://schemas.microsoft.com/office/drawing/2014/main" id="{04B0C848-816E-4B94-A3F7-F430AAB098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47625"/>
          <a:ext cx="2390775" cy="1257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A005-183C-4673-99B7-6E4AE39D1E60}">
  <dimension ref="A1:AZ1037"/>
  <sheetViews>
    <sheetView tabSelected="1" workbookViewId="0">
      <selection sqref="A1:XFD1048576"/>
    </sheetView>
  </sheetViews>
  <sheetFormatPr defaultColWidth="14.44140625" defaultRowHeight="15" customHeight="1"/>
  <cols>
    <col min="1" max="1" width="9" customWidth="1"/>
    <col min="2" max="2" width="60.5546875" customWidth="1"/>
    <col min="3" max="3" width="13.21875" customWidth="1"/>
    <col min="4" max="4" width="11" customWidth="1"/>
    <col min="5" max="20" width="5.88671875" customWidth="1"/>
    <col min="21" max="21" width="4.6640625" customWidth="1"/>
    <col min="22" max="22" width="8.33203125" customWidth="1"/>
    <col min="23" max="23" width="9.44140625" customWidth="1"/>
    <col min="24" max="25" width="7" customWidth="1"/>
    <col min="26" max="27" width="6.6640625" customWidth="1"/>
    <col min="28" max="28" width="5.44140625" customWidth="1"/>
    <col min="29" max="29" width="2.21875" customWidth="1"/>
    <col min="30" max="41" width="5.88671875" customWidth="1"/>
    <col min="42" max="42" width="6" customWidth="1"/>
    <col min="43" max="45" width="5.88671875" customWidth="1"/>
    <col min="46" max="46" width="9.33203125" customWidth="1"/>
    <col min="47" max="48" width="12.88671875" customWidth="1"/>
  </cols>
  <sheetData>
    <row r="1" spans="1:49" ht="13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4"/>
      <c r="AU1" s="5"/>
      <c r="AV1" s="5"/>
    </row>
    <row r="2" spans="1:49" ht="13.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4"/>
      <c r="AU2" s="5"/>
      <c r="AV2" s="5"/>
    </row>
    <row r="3" spans="1:49" ht="13.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4"/>
      <c r="AU3" s="5"/>
      <c r="AV3" s="5"/>
    </row>
    <row r="4" spans="1:49" ht="13.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4"/>
      <c r="AU4" s="5"/>
      <c r="AV4" s="5"/>
    </row>
    <row r="5" spans="1:49" ht="13.5" customHeight="1">
      <c r="A5" s="1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4"/>
      <c r="AU5" s="5"/>
      <c r="AV5" s="5"/>
    </row>
    <row r="6" spans="1:49" ht="13.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4"/>
      <c r="AU6" s="5"/>
      <c r="AV6" s="5"/>
    </row>
    <row r="7" spans="1:49" ht="13.5" customHeight="1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3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4"/>
      <c r="AU7" s="5"/>
      <c r="AV7" s="5"/>
    </row>
    <row r="8" spans="1:49" ht="13.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4"/>
      <c r="AU8" s="5"/>
      <c r="AV8" s="5"/>
    </row>
    <row r="9" spans="1:49" ht="26.25" customHeight="1" thickBot="1">
      <c r="A9" s="2"/>
      <c r="B9" s="7" t="s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3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4"/>
      <c r="AU9" s="5"/>
      <c r="AV9" s="5"/>
    </row>
    <row r="10" spans="1:49" ht="22.5" customHeight="1" thickBot="1">
      <c r="A10" s="8" t="s">
        <v>1</v>
      </c>
      <c r="B10" s="9" t="s">
        <v>2</v>
      </c>
      <c r="C10" s="10"/>
      <c r="D10" s="11" t="s">
        <v>3</v>
      </c>
      <c r="E10" s="12" t="s">
        <v>4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/>
      <c r="V10" s="15"/>
      <c r="W10" s="15"/>
      <c r="X10" s="15"/>
      <c r="Y10" s="15"/>
      <c r="Z10" s="15"/>
      <c r="AA10" s="16" t="s">
        <v>5</v>
      </c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5"/>
      <c r="AV10" s="15"/>
      <c r="AW10" s="15"/>
    </row>
    <row r="11" spans="1:49" ht="20.25" customHeight="1" thickBot="1">
      <c r="A11" s="18"/>
      <c r="B11" s="19"/>
      <c r="D11" s="19"/>
      <c r="E11" s="20" t="s">
        <v>6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/>
      <c r="V11" s="21"/>
      <c r="W11" s="21"/>
      <c r="X11" s="21"/>
      <c r="Y11" s="21"/>
      <c r="Z11" s="21"/>
      <c r="AA11" s="22" t="s">
        <v>7</v>
      </c>
      <c r="AB11" s="23"/>
      <c r="AC11" s="24"/>
      <c r="AD11" s="25" t="s">
        <v>6</v>
      </c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6"/>
      <c r="AU11" s="21"/>
      <c r="AV11" s="21"/>
      <c r="AW11" s="21"/>
    </row>
    <row r="12" spans="1:49" ht="50.25" customHeight="1" thickBot="1">
      <c r="A12" s="18"/>
      <c r="B12" s="27"/>
      <c r="C12" s="28"/>
      <c r="D12" s="27"/>
      <c r="E12" s="29" t="s">
        <v>8</v>
      </c>
      <c r="F12" s="13"/>
      <c r="G12" s="14"/>
      <c r="H12" s="30" t="s">
        <v>9</v>
      </c>
      <c r="I12" s="13"/>
      <c r="J12" s="13"/>
      <c r="K12" s="31" t="s">
        <v>10</v>
      </c>
      <c r="L12" s="13"/>
      <c r="M12" s="14"/>
      <c r="N12" s="30" t="s">
        <v>11</v>
      </c>
      <c r="O12" s="13"/>
      <c r="P12" s="13"/>
      <c r="Q12" s="31" t="s">
        <v>12</v>
      </c>
      <c r="R12" s="13"/>
      <c r="S12" s="14"/>
      <c r="T12" s="32" t="s">
        <v>13</v>
      </c>
      <c r="U12" s="33" t="s">
        <v>14</v>
      </c>
      <c r="V12" s="34"/>
      <c r="W12" s="35" t="s">
        <v>15</v>
      </c>
      <c r="X12" s="36"/>
      <c r="Y12" s="36"/>
      <c r="Z12" s="36"/>
      <c r="AA12" s="37"/>
      <c r="AB12" s="38"/>
      <c r="AC12" s="39"/>
      <c r="AD12" s="40" t="s">
        <v>8</v>
      </c>
      <c r="AE12" s="27"/>
      <c r="AF12" s="41"/>
      <c r="AG12" s="42" t="s">
        <v>9</v>
      </c>
      <c r="AH12" s="27"/>
      <c r="AI12" s="27"/>
      <c r="AJ12" s="43" t="s">
        <v>10</v>
      </c>
      <c r="AK12" s="27"/>
      <c r="AL12" s="41"/>
      <c r="AM12" s="42" t="s">
        <v>11</v>
      </c>
      <c r="AN12" s="27"/>
      <c r="AO12" s="27"/>
      <c r="AP12" s="43" t="s">
        <v>12</v>
      </c>
      <c r="AQ12" s="27"/>
      <c r="AR12" s="41"/>
      <c r="AS12" s="44" t="s">
        <v>13</v>
      </c>
      <c r="AT12" s="45" t="s">
        <v>14</v>
      </c>
    </row>
    <row r="13" spans="1:49" ht="13.5" customHeight="1" thickBot="1">
      <c r="A13" s="46" t="s">
        <v>16</v>
      </c>
      <c r="B13" s="47"/>
      <c r="C13" s="48" t="s">
        <v>7</v>
      </c>
      <c r="D13" s="49"/>
      <c r="E13" s="50" t="s">
        <v>17</v>
      </c>
      <c r="F13" s="51" t="s">
        <v>18</v>
      </c>
      <c r="G13" s="52" t="s">
        <v>19</v>
      </c>
      <c r="H13" s="50" t="s">
        <v>17</v>
      </c>
      <c r="I13" s="51" t="s">
        <v>18</v>
      </c>
      <c r="J13" s="53" t="s">
        <v>19</v>
      </c>
      <c r="K13" s="54" t="s">
        <v>17</v>
      </c>
      <c r="L13" s="51" t="s">
        <v>18</v>
      </c>
      <c r="M13" s="52" t="s">
        <v>19</v>
      </c>
      <c r="N13" s="50" t="s">
        <v>17</v>
      </c>
      <c r="O13" s="51" t="s">
        <v>18</v>
      </c>
      <c r="P13" s="53" t="s">
        <v>19</v>
      </c>
      <c r="Q13" s="54" t="s">
        <v>17</v>
      </c>
      <c r="R13" s="51" t="s">
        <v>18</v>
      </c>
      <c r="S13" s="52" t="s">
        <v>19</v>
      </c>
      <c r="T13" s="55"/>
      <c r="U13" s="56"/>
      <c r="V13" s="2"/>
      <c r="W13" s="57" t="s">
        <v>20</v>
      </c>
      <c r="X13" s="58" t="s">
        <v>21</v>
      </c>
      <c r="Y13" s="59" t="s">
        <v>22</v>
      </c>
      <c r="Z13" s="60" t="s">
        <v>23</v>
      </c>
      <c r="AA13" s="61"/>
      <c r="AB13" s="62"/>
      <c r="AC13" s="63"/>
      <c r="AD13" s="64" t="s">
        <v>17</v>
      </c>
      <c r="AE13" s="65" t="s">
        <v>18</v>
      </c>
      <c r="AF13" s="66" t="s">
        <v>19</v>
      </c>
      <c r="AG13" s="64" t="s">
        <v>17</v>
      </c>
      <c r="AH13" s="65" t="s">
        <v>18</v>
      </c>
      <c r="AI13" s="67" t="s">
        <v>19</v>
      </c>
      <c r="AJ13" s="68" t="s">
        <v>17</v>
      </c>
      <c r="AK13" s="65" t="s">
        <v>18</v>
      </c>
      <c r="AL13" s="66" t="s">
        <v>19</v>
      </c>
      <c r="AM13" s="64" t="s">
        <v>17</v>
      </c>
      <c r="AN13" s="65" t="s">
        <v>18</v>
      </c>
      <c r="AO13" s="67" t="s">
        <v>19</v>
      </c>
      <c r="AP13" s="68" t="s">
        <v>17</v>
      </c>
      <c r="AQ13" s="65" t="s">
        <v>18</v>
      </c>
      <c r="AR13" s="66" t="s">
        <v>19</v>
      </c>
      <c r="AS13" s="18"/>
      <c r="AT13" s="69"/>
    </row>
    <row r="14" spans="1:49" ht="15.75" customHeight="1" thickBot="1">
      <c r="A14" s="70"/>
      <c r="B14" s="71" t="s">
        <v>24</v>
      </c>
      <c r="C14" s="72"/>
      <c r="D14" s="73"/>
      <c r="E14" s="74"/>
      <c r="F14" s="74"/>
      <c r="G14" s="75"/>
      <c r="H14" s="76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7"/>
      <c r="U14" s="78">
        <f t="shared" ref="U14:U15" si="0">T14</f>
        <v>0</v>
      </c>
      <c r="V14" s="2"/>
      <c r="W14" s="79"/>
      <c r="X14" s="80"/>
      <c r="Y14" s="80"/>
      <c r="Z14" s="81"/>
      <c r="AA14" s="82"/>
      <c r="AB14" s="83"/>
      <c r="AC14" s="84"/>
      <c r="AD14" s="85"/>
      <c r="AE14" s="86"/>
      <c r="AF14" s="87"/>
      <c r="AG14" s="85"/>
      <c r="AH14" s="86"/>
      <c r="AI14" s="88"/>
      <c r="AJ14" s="89"/>
      <c r="AK14" s="86"/>
      <c r="AL14" s="87"/>
      <c r="AM14" s="85"/>
      <c r="AN14" s="86"/>
      <c r="AO14" s="88"/>
      <c r="AP14" s="89"/>
      <c r="AQ14" s="86"/>
      <c r="AR14" s="87"/>
      <c r="AS14" s="90">
        <f t="shared" ref="AS14:AS67" si="1">SUM(AD14:AR14)</f>
        <v>0</v>
      </c>
      <c r="AT14" s="91"/>
    </row>
    <row r="15" spans="1:49" ht="15.75" customHeight="1">
      <c r="A15" s="92">
        <v>1</v>
      </c>
      <c r="B15" s="93" t="s">
        <v>25</v>
      </c>
      <c r="C15" s="94"/>
      <c r="D15" s="95"/>
      <c r="E15" s="95"/>
      <c r="F15" s="95"/>
      <c r="G15" s="96"/>
      <c r="H15" s="97"/>
      <c r="I15" s="95"/>
      <c r="J15" s="95"/>
      <c r="K15" s="95"/>
      <c r="L15" s="95"/>
      <c r="M15" s="96"/>
      <c r="N15" s="97"/>
      <c r="O15" s="95"/>
      <c r="P15" s="96"/>
      <c r="Q15" s="97"/>
      <c r="R15" s="95"/>
      <c r="S15" s="95"/>
      <c r="T15" s="98">
        <f t="shared" ref="T15:T32" si="2">SUM(E15:S15)</f>
        <v>0</v>
      </c>
      <c r="U15" s="99">
        <f t="shared" si="0"/>
        <v>0</v>
      </c>
      <c r="V15" s="2"/>
      <c r="W15" s="100"/>
      <c r="X15" s="101"/>
      <c r="Y15" s="101"/>
      <c r="Z15" s="102"/>
      <c r="AA15" s="103"/>
      <c r="AB15" s="104"/>
      <c r="AC15" s="105"/>
      <c r="AD15" s="106"/>
      <c r="AE15" s="107"/>
      <c r="AF15" s="108"/>
      <c r="AG15" s="109"/>
      <c r="AH15" s="107"/>
      <c r="AI15" s="108"/>
      <c r="AJ15" s="109"/>
      <c r="AK15" s="107"/>
      <c r="AL15" s="108"/>
      <c r="AM15" s="109"/>
      <c r="AN15" s="107"/>
      <c r="AO15" s="108"/>
      <c r="AP15" s="109"/>
      <c r="AQ15" s="107"/>
      <c r="AR15" s="108"/>
      <c r="AS15" s="90">
        <f t="shared" si="1"/>
        <v>0</v>
      </c>
      <c r="AT15" s="110"/>
    </row>
    <row r="16" spans="1:49" ht="13.5" customHeight="1">
      <c r="A16" s="111">
        <v>1.1000000000000001</v>
      </c>
      <c r="B16" s="112" t="s">
        <v>26</v>
      </c>
      <c r="C16" s="113" t="s">
        <v>27</v>
      </c>
      <c r="D16" s="114">
        <v>1</v>
      </c>
      <c r="E16" s="115">
        <v>1</v>
      </c>
      <c r="F16" s="116"/>
      <c r="G16" s="117"/>
      <c r="H16" s="118"/>
      <c r="I16" s="116"/>
      <c r="J16" s="117"/>
      <c r="K16" s="118"/>
      <c r="L16" s="116"/>
      <c r="M16" s="117"/>
      <c r="N16" s="118"/>
      <c r="O16" s="116"/>
      <c r="P16" s="117"/>
      <c r="Q16" s="118"/>
      <c r="R16" s="116"/>
      <c r="S16" s="119"/>
      <c r="T16" s="120">
        <f>SUM(E16:S16)</f>
        <v>1</v>
      </c>
      <c r="U16" s="121"/>
      <c r="V16" s="2"/>
      <c r="W16" s="100"/>
      <c r="X16" s="101"/>
      <c r="Y16" s="101"/>
      <c r="Z16" s="102"/>
      <c r="AA16" s="122"/>
      <c r="AB16" s="123"/>
      <c r="AC16" s="124"/>
      <c r="AD16" s="125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0">
        <f t="shared" si="1"/>
        <v>0</v>
      </c>
      <c r="AT16" s="129"/>
    </row>
    <row r="17" spans="1:49" ht="13.5" customHeight="1">
      <c r="A17" s="130">
        <v>1.2</v>
      </c>
      <c r="B17" s="131" t="s">
        <v>28</v>
      </c>
      <c r="C17" s="132"/>
      <c r="D17" s="133"/>
      <c r="E17" s="134"/>
      <c r="F17" s="134"/>
      <c r="G17" s="135"/>
      <c r="H17" s="136"/>
      <c r="I17" s="137"/>
      <c r="J17" s="138"/>
      <c r="K17" s="136"/>
      <c r="L17" s="137"/>
      <c r="M17" s="138"/>
      <c r="N17" s="136"/>
      <c r="O17" s="137"/>
      <c r="P17" s="138"/>
      <c r="Q17" s="136"/>
      <c r="R17" s="137"/>
      <c r="S17" s="137"/>
      <c r="T17" s="139">
        <f t="shared" si="2"/>
        <v>0</v>
      </c>
      <c r="U17" s="140">
        <f>T17</f>
        <v>0</v>
      </c>
      <c r="V17" s="2"/>
      <c r="W17" s="100"/>
      <c r="X17" s="101"/>
      <c r="Y17" s="101"/>
      <c r="Z17" s="102"/>
      <c r="AA17" s="141"/>
      <c r="AB17" s="142"/>
      <c r="AC17" s="143"/>
      <c r="AD17" s="136"/>
      <c r="AE17" s="137"/>
      <c r="AF17" s="138"/>
      <c r="AG17" s="144"/>
      <c r="AH17" s="137"/>
      <c r="AI17" s="138"/>
      <c r="AJ17" s="144"/>
      <c r="AK17" s="137"/>
      <c r="AL17" s="138"/>
      <c r="AM17" s="144"/>
      <c r="AN17" s="137"/>
      <c r="AO17" s="138"/>
      <c r="AP17" s="144"/>
      <c r="AQ17" s="137"/>
      <c r="AR17" s="138"/>
      <c r="AS17" s="139">
        <f t="shared" si="1"/>
        <v>0</v>
      </c>
      <c r="AT17" s="145"/>
    </row>
    <row r="18" spans="1:49" ht="13.5" customHeight="1">
      <c r="A18" s="146">
        <v>1.3</v>
      </c>
      <c r="B18" s="112" t="s">
        <v>29</v>
      </c>
      <c r="C18" s="113"/>
      <c r="D18" s="114"/>
      <c r="E18" s="115"/>
      <c r="F18" s="116"/>
      <c r="G18" s="117"/>
      <c r="H18" s="118"/>
      <c r="I18" s="116"/>
      <c r="J18" s="117"/>
      <c r="K18" s="118"/>
      <c r="L18" s="116"/>
      <c r="M18" s="117"/>
      <c r="N18" s="118"/>
      <c r="O18" s="116"/>
      <c r="P18" s="117"/>
      <c r="Q18" s="118"/>
      <c r="R18" s="116"/>
      <c r="S18" s="119"/>
      <c r="T18" s="120">
        <f t="shared" si="2"/>
        <v>0</v>
      </c>
      <c r="U18" s="121"/>
      <c r="V18" s="2"/>
      <c r="W18" s="100"/>
      <c r="X18" s="101"/>
      <c r="Y18" s="101"/>
      <c r="Z18" s="102"/>
      <c r="AA18" s="122"/>
      <c r="AB18" s="123"/>
      <c r="AC18" s="124"/>
      <c r="AD18" s="125"/>
      <c r="AE18" s="126"/>
      <c r="AF18" s="127"/>
      <c r="AG18" s="128"/>
      <c r="AH18" s="126"/>
      <c r="AI18" s="127"/>
      <c r="AJ18" s="128"/>
      <c r="AK18" s="126"/>
      <c r="AL18" s="127"/>
      <c r="AM18" s="128"/>
      <c r="AN18" s="126"/>
      <c r="AO18" s="127"/>
      <c r="AP18" s="128"/>
      <c r="AQ18" s="126"/>
      <c r="AR18" s="127"/>
      <c r="AS18" s="120">
        <f t="shared" si="1"/>
        <v>0</v>
      </c>
      <c r="AT18" s="129"/>
    </row>
    <row r="19" spans="1:49" ht="13.5" customHeight="1">
      <c r="A19" s="146">
        <v>1.4</v>
      </c>
      <c r="B19" s="112" t="s">
        <v>30</v>
      </c>
      <c r="C19" s="113" t="s">
        <v>31</v>
      </c>
      <c r="D19" s="114">
        <v>2</v>
      </c>
      <c r="E19" s="115">
        <v>1</v>
      </c>
      <c r="F19" s="116"/>
      <c r="G19" s="117"/>
      <c r="H19" s="118"/>
      <c r="I19" s="116"/>
      <c r="J19" s="117"/>
      <c r="K19" s="118"/>
      <c r="L19" s="116"/>
      <c r="M19" s="117"/>
      <c r="N19" s="118"/>
      <c r="O19" s="116"/>
      <c r="P19" s="117"/>
      <c r="Q19" s="118"/>
      <c r="R19" s="116"/>
      <c r="S19" s="119"/>
      <c r="T19" s="120">
        <f t="shared" si="2"/>
        <v>1</v>
      </c>
      <c r="U19" s="121"/>
      <c r="V19" s="2"/>
      <c r="W19" s="100"/>
      <c r="X19" s="101"/>
      <c r="Y19" s="101"/>
      <c r="Z19" s="102"/>
      <c r="AA19" s="122"/>
      <c r="AB19" s="123"/>
      <c r="AC19" s="124"/>
      <c r="AD19" s="125"/>
      <c r="AE19" s="126"/>
      <c r="AF19" s="127"/>
      <c r="AG19" s="128"/>
      <c r="AH19" s="126"/>
      <c r="AI19" s="127"/>
      <c r="AJ19" s="128"/>
      <c r="AK19" s="126"/>
      <c r="AL19" s="127"/>
      <c r="AM19" s="128"/>
      <c r="AN19" s="126"/>
      <c r="AO19" s="127"/>
      <c r="AP19" s="128"/>
      <c r="AQ19" s="126"/>
      <c r="AR19" s="127"/>
      <c r="AS19" s="120">
        <f t="shared" si="1"/>
        <v>0</v>
      </c>
      <c r="AT19" s="129"/>
    </row>
    <row r="20" spans="1:49" ht="13.5" customHeight="1">
      <c r="A20" s="146">
        <v>1.5</v>
      </c>
      <c r="B20" s="112" t="s">
        <v>32</v>
      </c>
      <c r="C20" s="113"/>
      <c r="D20" s="114"/>
      <c r="E20" s="115"/>
      <c r="F20" s="116"/>
      <c r="G20" s="117"/>
      <c r="H20" s="118"/>
      <c r="I20" s="116"/>
      <c r="J20" s="117"/>
      <c r="K20" s="118"/>
      <c r="L20" s="116"/>
      <c r="M20" s="117"/>
      <c r="N20" s="118"/>
      <c r="O20" s="116"/>
      <c r="P20" s="117"/>
      <c r="Q20" s="118"/>
      <c r="R20" s="116"/>
      <c r="S20" s="119"/>
      <c r="T20" s="120">
        <f t="shared" si="2"/>
        <v>0</v>
      </c>
      <c r="U20" s="121"/>
      <c r="V20" s="2"/>
      <c r="W20" s="100"/>
      <c r="X20" s="101"/>
      <c r="Y20" s="101"/>
      <c r="Z20" s="102"/>
      <c r="AA20" s="122"/>
      <c r="AB20" s="123"/>
      <c r="AC20" s="124"/>
      <c r="AD20" s="125"/>
      <c r="AE20" s="126"/>
      <c r="AF20" s="127"/>
      <c r="AG20" s="128"/>
      <c r="AH20" s="126"/>
      <c r="AI20" s="127"/>
      <c r="AJ20" s="128"/>
      <c r="AK20" s="126"/>
      <c r="AL20" s="127"/>
      <c r="AM20" s="128"/>
      <c r="AN20" s="126"/>
      <c r="AO20" s="127"/>
      <c r="AP20" s="128"/>
      <c r="AQ20" s="126"/>
      <c r="AR20" s="127"/>
      <c r="AS20" s="120">
        <f t="shared" si="1"/>
        <v>0</v>
      </c>
      <c r="AT20" s="129"/>
    </row>
    <row r="21" spans="1:49" ht="13.5" customHeight="1">
      <c r="A21" s="146">
        <v>1.6</v>
      </c>
      <c r="B21" s="112" t="s">
        <v>33</v>
      </c>
      <c r="C21" s="113" t="s">
        <v>34</v>
      </c>
      <c r="D21" s="114">
        <v>3</v>
      </c>
      <c r="E21" s="115"/>
      <c r="F21" s="116"/>
      <c r="G21" s="117"/>
      <c r="H21" s="118">
        <v>2</v>
      </c>
      <c r="I21" s="116"/>
      <c r="J21" s="117"/>
      <c r="K21" s="118"/>
      <c r="L21" s="116"/>
      <c r="M21" s="117"/>
      <c r="N21" s="118"/>
      <c r="O21" s="116"/>
      <c r="P21" s="117"/>
      <c r="Q21" s="118"/>
      <c r="R21" s="116"/>
      <c r="S21" s="119"/>
      <c r="T21" s="120">
        <f>SUM(E21:S21)</f>
        <v>2</v>
      </c>
      <c r="U21" s="121"/>
      <c r="V21" s="2"/>
      <c r="W21" s="100"/>
      <c r="X21" s="101"/>
      <c r="Y21" s="101"/>
      <c r="Z21" s="102"/>
      <c r="AA21" s="122"/>
      <c r="AB21" s="123"/>
      <c r="AC21" s="124"/>
      <c r="AD21" s="125"/>
      <c r="AE21" s="126"/>
      <c r="AF21" s="127"/>
      <c r="AG21" s="128"/>
      <c r="AH21" s="126"/>
      <c r="AI21" s="127"/>
      <c r="AJ21" s="128"/>
      <c r="AK21" s="126"/>
      <c r="AL21" s="127"/>
      <c r="AM21" s="128"/>
      <c r="AN21" s="126"/>
      <c r="AO21" s="127"/>
      <c r="AP21" s="128"/>
      <c r="AQ21" s="126"/>
      <c r="AR21" s="127"/>
      <c r="AS21" s="120">
        <f t="shared" si="1"/>
        <v>0</v>
      </c>
      <c r="AT21" s="129"/>
    </row>
    <row r="22" spans="1:49" ht="13.5" customHeight="1">
      <c r="A22" s="146">
        <v>1.7</v>
      </c>
      <c r="B22" s="112" t="s">
        <v>35</v>
      </c>
      <c r="C22" s="113" t="s">
        <v>36</v>
      </c>
      <c r="D22" s="114">
        <v>4</v>
      </c>
      <c r="E22" s="115"/>
      <c r="F22" s="116"/>
      <c r="G22" s="117"/>
      <c r="H22" s="118">
        <v>2</v>
      </c>
      <c r="I22" s="116"/>
      <c r="J22" s="117"/>
      <c r="K22" s="118"/>
      <c r="L22" s="116"/>
      <c r="M22" s="117"/>
      <c r="N22" s="118"/>
      <c r="O22" s="116"/>
      <c r="P22" s="117"/>
      <c r="Q22" s="118"/>
      <c r="R22" s="116"/>
      <c r="S22" s="119"/>
      <c r="T22" s="120">
        <f>SUM(E22:S22)</f>
        <v>2</v>
      </c>
      <c r="U22" s="121"/>
      <c r="V22" s="2"/>
      <c r="W22" s="100"/>
      <c r="X22" s="101"/>
      <c r="Y22" s="101"/>
      <c r="Z22" s="102"/>
      <c r="AA22" s="122"/>
      <c r="AB22" s="123"/>
      <c r="AC22" s="124"/>
      <c r="AD22" s="125"/>
      <c r="AE22" s="126"/>
      <c r="AF22" s="127"/>
      <c r="AG22" s="128"/>
      <c r="AH22" s="126"/>
      <c r="AI22" s="127"/>
      <c r="AJ22" s="128"/>
      <c r="AK22" s="126"/>
      <c r="AL22" s="127"/>
      <c r="AM22" s="128"/>
      <c r="AN22" s="126"/>
      <c r="AO22" s="127"/>
      <c r="AP22" s="128"/>
      <c r="AQ22" s="126"/>
      <c r="AR22" s="127"/>
      <c r="AS22" s="120">
        <f t="shared" si="1"/>
        <v>0</v>
      </c>
      <c r="AT22" s="129"/>
    </row>
    <row r="23" spans="1:49" ht="13.5" customHeight="1">
      <c r="A23" s="146">
        <v>1.8</v>
      </c>
      <c r="B23" s="112" t="s">
        <v>37</v>
      </c>
      <c r="C23" s="147"/>
      <c r="D23" s="137"/>
      <c r="E23" s="137"/>
      <c r="F23" s="137"/>
      <c r="G23" s="138"/>
      <c r="H23" s="136"/>
      <c r="I23" s="137"/>
      <c r="J23" s="138"/>
      <c r="K23" s="136"/>
      <c r="L23" s="137"/>
      <c r="M23" s="138"/>
      <c r="N23" s="136"/>
      <c r="O23" s="137"/>
      <c r="P23" s="138"/>
      <c r="Q23" s="136"/>
      <c r="R23" s="137"/>
      <c r="S23" s="137"/>
      <c r="T23" s="139">
        <f t="shared" si="2"/>
        <v>0</v>
      </c>
      <c r="U23" s="140">
        <f>T23</f>
        <v>0</v>
      </c>
      <c r="V23" s="2"/>
      <c r="W23" s="100"/>
      <c r="X23" s="101"/>
      <c r="Y23" s="101"/>
      <c r="Z23" s="102"/>
      <c r="AA23" s="141"/>
      <c r="AB23" s="142"/>
      <c r="AC23" s="143"/>
      <c r="AD23" s="97"/>
      <c r="AE23" s="95"/>
      <c r="AF23" s="96"/>
      <c r="AG23" s="148"/>
      <c r="AH23" s="95"/>
      <c r="AI23" s="96"/>
      <c r="AJ23" s="148"/>
      <c r="AK23" s="95"/>
      <c r="AL23" s="96"/>
      <c r="AM23" s="148"/>
      <c r="AN23" s="95"/>
      <c r="AO23" s="96"/>
      <c r="AP23" s="148"/>
      <c r="AQ23" s="95"/>
      <c r="AR23" s="96"/>
      <c r="AS23" s="139">
        <f t="shared" si="1"/>
        <v>0</v>
      </c>
      <c r="AT23" s="149"/>
    </row>
    <row r="24" spans="1:49" ht="13.5" customHeight="1">
      <c r="A24" s="146">
        <v>1.9</v>
      </c>
      <c r="B24" s="112" t="s">
        <v>38</v>
      </c>
      <c r="C24" s="113"/>
      <c r="D24" s="150"/>
      <c r="E24" s="115"/>
      <c r="F24" s="116"/>
      <c r="G24" s="117"/>
      <c r="H24" s="118"/>
      <c r="I24" s="116"/>
      <c r="J24" s="117"/>
      <c r="K24" s="118"/>
      <c r="L24" s="116"/>
      <c r="M24" s="117"/>
      <c r="N24" s="118"/>
      <c r="O24" s="116"/>
      <c r="P24" s="117"/>
      <c r="Q24" s="118"/>
      <c r="R24" s="116"/>
      <c r="S24" s="119"/>
      <c r="T24" s="120">
        <f t="shared" si="2"/>
        <v>0</v>
      </c>
      <c r="U24" s="121"/>
      <c r="V24" s="2"/>
      <c r="W24" s="100"/>
      <c r="X24" s="101"/>
      <c r="Y24" s="101"/>
      <c r="Z24" s="102"/>
      <c r="AA24" s="122"/>
      <c r="AB24" s="123"/>
      <c r="AC24" s="124"/>
      <c r="AD24" s="125"/>
      <c r="AE24" s="126"/>
      <c r="AF24" s="127"/>
      <c r="AG24" s="151"/>
      <c r="AH24" s="126"/>
      <c r="AI24" s="127"/>
      <c r="AJ24" s="151"/>
      <c r="AK24" s="126"/>
      <c r="AL24" s="127"/>
      <c r="AM24" s="151"/>
      <c r="AN24" s="126"/>
      <c r="AO24" s="127"/>
      <c r="AP24" s="151"/>
      <c r="AQ24" s="126"/>
      <c r="AR24" s="127"/>
      <c r="AS24" s="120">
        <f t="shared" si="1"/>
        <v>0</v>
      </c>
      <c r="AT24" s="152"/>
      <c r="AU24" s="153"/>
      <c r="AV24" s="153"/>
      <c r="AW24" s="153"/>
    </row>
    <row r="25" spans="1:49" ht="13.5" customHeight="1">
      <c r="A25" s="154">
        <v>2</v>
      </c>
      <c r="B25" s="155" t="s">
        <v>39</v>
      </c>
      <c r="C25" s="147"/>
      <c r="D25" s="137"/>
      <c r="E25" s="137"/>
      <c r="F25" s="137"/>
      <c r="G25" s="138"/>
      <c r="H25" s="136"/>
      <c r="I25" s="137"/>
      <c r="J25" s="138"/>
      <c r="K25" s="136"/>
      <c r="L25" s="137"/>
      <c r="M25" s="138"/>
      <c r="N25" s="136"/>
      <c r="O25" s="137"/>
      <c r="P25" s="138"/>
      <c r="Q25" s="136"/>
      <c r="R25" s="137"/>
      <c r="S25" s="137"/>
      <c r="T25" s="139">
        <f t="shared" si="2"/>
        <v>0</v>
      </c>
      <c r="U25" s="140">
        <f>T25</f>
        <v>0</v>
      </c>
      <c r="V25" s="2"/>
      <c r="W25" s="100"/>
      <c r="X25" s="101"/>
      <c r="Y25" s="101"/>
      <c r="Z25" s="102"/>
      <c r="AA25" s="141"/>
      <c r="AB25" s="142"/>
      <c r="AC25" s="143"/>
      <c r="AD25" s="97"/>
      <c r="AE25" s="95"/>
      <c r="AF25" s="96"/>
      <c r="AG25" s="97"/>
      <c r="AH25" s="95"/>
      <c r="AI25" s="96"/>
      <c r="AJ25" s="97"/>
      <c r="AK25" s="95"/>
      <c r="AL25" s="96"/>
      <c r="AM25" s="97"/>
      <c r="AN25" s="95"/>
      <c r="AO25" s="96"/>
      <c r="AP25" s="97"/>
      <c r="AQ25" s="95"/>
      <c r="AR25" s="96"/>
      <c r="AS25" s="139">
        <f t="shared" si="1"/>
        <v>0</v>
      </c>
      <c r="AT25" s="156"/>
      <c r="AU25" s="153"/>
      <c r="AV25" s="153"/>
      <c r="AW25" s="153"/>
    </row>
    <row r="26" spans="1:49" ht="13.5" customHeight="1">
      <c r="A26" s="146">
        <v>2.1</v>
      </c>
      <c r="B26" s="112" t="s">
        <v>40</v>
      </c>
      <c r="C26" s="113" t="s">
        <v>41</v>
      </c>
      <c r="D26" s="150">
        <v>5</v>
      </c>
      <c r="E26" s="115"/>
      <c r="F26" s="116"/>
      <c r="G26" s="117"/>
      <c r="H26" s="118">
        <v>2</v>
      </c>
      <c r="I26" s="116"/>
      <c r="J26" s="117"/>
      <c r="K26" s="118"/>
      <c r="L26" s="116"/>
      <c r="M26" s="117"/>
      <c r="N26" s="118"/>
      <c r="O26" s="116"/>
      <c r="P26" s="117"/>
      <c r="Q26" s="118"/>
      <c r="R26" s="116"/>
      <c r="S26" s="119"/>
      <c r="T26" s="120">
        <f t="shared" si="2"/>
        <v>2</v>
      </c>
      <c r="U26" s="121"/>
      <c r="V26" s="2"/>
      <c r="W26" s="100"/>
      <c r="X26" s="101"/>
      <c r="Y26" s="101"/>
      <c r="Z26" s="102"/>
      <c r="AA26" s="122"/>
      <c r="AB26" s="123"/>
      <c r="AC26" s="124"/>
      <c r="AD26" s="125"/>
      <c r="AE26" s="126"/>
      <c r="AF26" s="127"/>
      <c r="AG26" s="151"/>
      <c r="AH26" s="126"/>
      <c r="AI26" s="127"/>
      <c r="AJ26" s="151"/>
      <c r="AK26" s="126"/>
      <c r="AL26" s="127"/>
      <c r="AM26" s="151"/>
      <c r="AN26" s="126"/>
      <c r="AO26" s="127"/>
      <c r="AP26" s="151"/>
      <c r="AQ26" s="126"/>
      <c r="AR26" s="127"/>
      <c r="AS26" s="120">
        <f t="shared" si="1"/>
        <v>0</v>
      </c>
      <c r="AT26" s="152"/>
      <c r="AU26" s="153"/>
      <c r="AV26" s="153"/>
      <c r="AW26" s="153"/>
    </row>
    <row r="27" spans="1:49" ht="13.5" customHeight="1">
      <c r="A27" s="146">
        <v>2.2000000000000002</v>
      </c>
      <c r="B27" s="112" t="s">
        <v>42</v>
      </c>
      <c r="C27" s="113" t="s">
        <v>43</v>
      </c>
      <c r="D27" s="150">
        <v>6</v>
      </c>
      <c r="E27" s="115"/>
      <c r="F27" s="116"/>
      <c r="G27" s="117"/>
      <c r="H27" s="118">
        <v>2</v>
      </c>
      <c r="I27" s="116"/>
      <c r="J27" s="117"/>
      <c r="K27" s="118"/>
      <c r="L27" s="116"/>
      <c r="M27" s="117"/>
      <c r="N27" s="118"/>
      <c r="O27" s="116"/>
      <c r="P27" s="117"/>
      <c r="Q27" s="118"/>
      <c r="R27" s="116"/>
      <c r="S27" s="119"/>
      <c r="T27" s="120">
        <f t="shared" si="2"/>
        <v>2</v>
      </c>
      <c r="U27" s="121"/>
      <c r="V27" s="2"/>
      <c r="W27" s="100"/>
      <c r="X27" s="101"/>
      <c r="Y27" s="101"/>
      <c r="Z27" s="102"/>
      <c r="AA27" s="122"/>
      <c r="AB27" s="123"/>
      <c r="AC27" s="124"/>
      <c r="AD27" s="125"/>
      <c r="AE27" s="126"/>
      <c r="AF27" s="127"/>
      <c r="AG27" s="151"/>
      <c r="AH27" s="126"/>
      <c r="AI27" s="127"/>
      <c r="AJ27" s="151"/>
      <c r="AK27" s="126"/>
      <c r="AL27" s="127"/>
      <c r="AM27" s="151"/>
      <c r="AN27" s="126"/>
      <c r="AO27" s="127"/>
      <c r="AP27" s="151"/>
      <c r="AQ27" s="126"/>
      <c r="AR27" s="127"/>
      <c r="AS27" s="120">
        <f t="shared" si="1"/>
        <v>0</v>
      </c>
      <c r="AT27" s="157"/>
      <c r="AU27" s="158"/>
      <c r="AV27" s="158"/>
      <c r="AW27" s="159"/>
    </row>
    <row r="28" spans="1:49" ht="13.5" customHeight="1">
      <c r="A28" s="146">
        <v>2.2999999999999998</v>
      </c>
      <c r="B28" s="112" t="s">
        <v>44</v>
      </c>
      <c r="C28" s="113"/>
      <c r="D28" s="150"/>
      <c r="E28" s="115"/>
      <c r="F28" s="116"/>
      <c r="G28" s="117"/>
      <c r="H28" s="118"/>
      <c r="I28" s="116"/>
      <c r="J28" s="117"/>
      <c r="K28" s="118"/>
      <c r="L28" s="116"/>
      <c r="M28" s="117"/>
      <c r="N28" s="118"/>
      <c r="O28" s="116"/>
      <c r="P28" s="117"/>
      <c r="Q28" s="118"/>
      <c r="R28" s="116"/>
      <c r="S28" s="119"/>
      <c r="T28" s="120">
        <f t="shared" si="2"/>
        <v>0</v>
      </c>
      <c r="U28" s="121"/>
      <c r="V28" s="2"/>
      <c r="W28" s="100"/>
      <c r="X28" s="101"/>
      <c r="Y28" s="101"/>
      <c r="Z28" s="102"/>
      <c r="AA28" s="122"/>
      <c r="AB28" s="123"/>
      <c r="AC28" s="124"/>
      <c r="AD28" s="125"/>
      <c r="AE28" s="126"/>
      <c r="AF28" s="127"/>
      <c r="AG28" s="151"/>
      <c r="AH28" s="126"/>
      <c r="AI28" s="127"/>
      <c r="AJ28" s="151"/>
      <c r="AK28" s="126"/>
      <c r="AL28" s="127"/>
      <c r="AM28" s="151"/>
      <c r="AN28" s="126"/>
      <c r="AO28" s="127"/>
      <c r="AP28" s="151"/>
      <c r="AQ28" s="126"/>
      <c r="AR28" s="127"/>
      <c r="AS28" s="120">
        <f t="shared" si="1"/>
        <v>0</v>
      </c>
      <c r="AT28" s="157"/>
      <c r="AU28" s="158"/>
      <c r="AV28" s="158"/>
      <c r="AW28" s="159"/>
    </row>
    <row r="29" spans="1:49" ht="13.5" customHeight="1">
      <c r="A29" s="146">
        <v>2.4</v>
      </c>
      <c r="B29" s="112" t="s">
        <v>38</v>
      </c>
      <c r="C29" s="113"/>
      <c r="D29" s="150"/>
      <c r="E29" s="115"/>
      <c r="F29" s="116"/>
      <c r="G29" s="117"/>
      <c r="H29" s="118"/>
      <c r="I29" s="116"/>
      <c r="J29" s="117"/>
      <c r="K29" s="118"/>
      <c r="L29" s="116"/>
      <c r="M29" s="117"/>
      <c r="N29" s="118"/>
      <c r="O29" s="116"/>
      <c r="P29" s="117"/>
      <c r="Q29" s="118"/>
      <c r="R29" s="116"/>
      <c r="S29" s="119"/>
      <c r="T29" s="120">
        <f t="shared" si="2"/>
        <v>0</v>
      </c>
      <c r="U29" s="121"/>
      <c r="V29" s="2"/>
      <c r="W29" s="100"/>
      <c r="X29" s="101"/>
      <c r="Y29" s="101"/>
      <c r="Z29" s="102"/>
      <c r="AA29" s="122"/>
      <c r="AB29" s="123"/>
      <c r="AC29" s="124"/>
      <c r="AD29" s="125"/>
      <c r="AE29" s="126"/>
      <c r="AF29" s="127"/>
      <c r="AG29" s="151"/>
      <c r="AH29" s="126"/>
      <c r="AI29" s="127"/>
      <c r="AJ29" s="151"/>
      <c r="AK29" s="126"/>
      <c r="AL29" s="127"/>
      <c r="AM29" s="151"/>
      <c r="AN29" s="126"/>
      <c r="AO29" s="127"/>
      <c r="AP29" s="151"/>
      <c r="AQ29" s="126"/>
      <c r="AR29" s="127"/>
      <c r="AS29" s="120">
        <f t="shared" si="1"/>
        <v>0</v>
      </c>
      <c r="AT29" s="157"/>
      <c r="AU29" s="158"/>
      <c r="AV29" s="158"/>
      <c r="AW29" s="159"/>
    </row>
    <row r="30" spans="1:49" ht="13.5" customHeight="1">
      <c r="A30" s="154">
        <v>3</v>
      </c>
      <c r="B30" s="155" t="s">
        <v>45</v>
      </c>
      <c r="C30" s="147"/>
      <c r="D30" s="137"/>
      <c r="E30" s="137"/>
      <c r="F30" s="137"/>
      <c r="G30" s="138"/>
      <c r="H30" s="136"/>
      <c r="I30" s="137"/>
      <c r="J30" s="138"/>
      <c r="K30" s="136"/>
      <c r="L30" s="137"/>
      <c r="M30" s="138"/>
      <c r="N30" s="136"/>
      <c r="O30" s="137"/>
      <c r="P30" s="138"/>
      <c r="Q30" s="136"/>
      <c r="R30" s="137"/>
      <c r="S30" s="137"/>
      <c r="T30" s="139">
        <f t="shared" si="2"/>
        <v>0</v>
      </c>
      <c r="U30" s="140">
        <f>T30</f>
        <v>0</v>
      </c>
      <c r="V30" s="2"/>
      <c r="W30" s="100"/>
      <c r="X30" s="101"/>
      <c r="Y30" s="101"/>
      <c r="Z30" s="102"/>
      <c r="AA30" s="141"/>
      <c r="AB30" s="142"/>
      <c r="AC30" s="143"/>
      <c r="AD30" s="97"/>
      <c r="AE30" s="95"/>
      <c r="AF30" s="96"/>
      <c r="AG30" s="97"/>
      <c r="AH30" s="95"/>
      <c r="AI30" s="96"/>
      <c r="AJ30" s="97"/>
      <c r="AK30" s="95"/>
      <c r="AL30" s="96"/>
      <c r="AM30" s="97"/>
      <c r="AN30" s="95"/>
      <c r="AO30" s="96"/>
      <c r="AP30" s="97"/>
      <c r="AQ30" s="95"/>
      <c r="AR30" s="96"/>
      <c r="AS30" s="139">
        <f t="shared" si="1"/>
        <v>0</v>
      </c>
      <c r="AT30" s="96"/>
      <c r="AU30" s="158"/>
      <c r="AV30" s="158"/>
      <c r="AW30" s="159"/>
    </row>
    <row r="31" spans="1:49" ht="13.5" customHeight="1">
      <c r="A31" s="146">
        <v>3.1</v>
      </c>
      <c r="B31" s="112" t="s">
        <v>46</v>
      </c>
      <c r="C31" s="113"/>
      <c r="D31" s="150"/>
      <c r="E31" s="115"/>
      <c r="F31" s="116"/>
      <c r="G31" s="117"/>
      <c r="H31" s="118"/>
      <c r="I31" s="116"/>
      <c r="J31" s="117"/>
      <c r="K31" s="118"/>
      <c r="L31" s="116"/>
      <c r="M31" s="117"/>
      <c r="N31" s="118"/>
      <c r="O31" s="116"/>
      <c r="P31" s="117"/>
      <c r="Q31" s="118"/>
      <c r="R31" s="116"/>
      <c r="S31" s="119"/>
      <c r="T31" s="120">
        <f t="shared" si="2"/>
        <v>0</v>
      </c>
      <c r="U31" s="121"/>
      <c r="V31" s="2"/>
      <c r="W31" s="100"/>
      <c r="X31" s="101"/>
      <c r="Y31" s="101"/>
      <c r="Z31" s="102"/>
      <c r="AA31" s="122"/>
      <c r="AB31" s="123"/>
      <c r="AC31" s="124"/>
      <c r="AD31" s="125"/>
      <c r="AE31" s="126"/>
      <c r="AF31" s="127"/>
      <c r="AG31" s="151"/>
      <c r="AH31" s="126"/>
      <c r="AI31" s="127"/>
      <c r="AJ31" s="151"/>
      <c r="AK31" s="126"/>
      <c r="AL31" s="127"/>
      <c r="AM31" s="151"/>
      <c r="AN31" s="126"/>
      <c r="AO31" s="127"/>
      <c r="AP31" s="151"/>
      <c r="AQ31" s="126"/>
      <c r="AR31" s="127"/>
      <c r="AS31" s="120">
        <f t="shared" si="1"/>
        <v>0</v>
      </c>
      <c r="AT31" s="157"/>
      <c r="AU31" s="158"/>
      <c r="AV31" s="158"/>
      <c r="AW31" s="159"/>
    </row>
    <row r="32" spans="1:49" ht="13.5" customHeight="1">
      <c r="A32" s="146">
        <v>3.2</v>
      </c>
      <c r="B32" s="112" t="s">
        <v>47</v>
      </c>
      <c r="C32" s="113" t="s">
        <v>48</v>
      </c>
      <c r="D32" s="150">
        <v>7</v>
      </c>
      <c r="E32" s="115"/>
      <c r="F32" s="116"/>
      <c r="G32" s="117"/>
      <c r="H32" s="118">
        <v>2</v>
      </c>
      <c r="I32" s="116"/>
      <c r="J32" s="117"/>
      <c r="K32" s="118"/>
      <c r="L32" s="116"/>
      <c r="M32" s="117"/>
      <c r="N32" s="118"/>
      <c r="O32" s="116"/>
      <c r="P32" s="117"/>
      <c r="Q32" s="118"/>
      <c r="R32" s="116"/>
      <c r="S32" s="119"/>
      <c r="T32" s="120">
        <f t="shared" si="2"/>
        <v>2</v>
      </c>
      <c r="U32" s="121"/>
      <c r="V32" s="2"/>
      <c r="W32" s="100"/>
      <c r="X32" s="101"/>
      <c r="Y32" s="101" t="s">
        <v>49</v>
      </c>
      <c r="Z32" s="102"/>
      <c r="AA32" s="122" t="s">
        <v>48</v>
      </c>
      <c r="AB32" s="123"/>
      <c r="AC32" s="124"/>
      <c r="AD32" s="125"/>
      <c r="AE32" s="126"/>
      <c r="AF32" s="127"/>
      <c r="AG32" s="151"/>
      <c r="AH32" s="126"/>
      <c r="AI32" s="127"/>
      <c r="AJ32" s="151"/>
      <c r="AK32" s="126"/>
      <c r="AL32" s="127">
        <v>3</v>
      </c>
      <c r="AM32" s="151"/>
      <c r="AN32" s="126"/>
      <c r="AO32" s="127"/>
      <c r="AP32" s="151"/>
      <c r="AQ32" s="126"/>
      <c r="AR32" s="127"/>
      <c r="AS32" s="120">
        <f t="shared" si="1"/>
        <v>3</v>
      </c>
      <c r="AT32" s="157"/>
      <c r="AU32" s="158"/>
      <c r="AV32" s="158"/>
      <c r="AW32" s="159"/>
    </row>
    <row r="33" spans="1:52" ht="13.5" customHeight="1">
      <c r="A33" s="146">
        <v>3.3</v>
      </c>
      <c r="B33" s="112" t="s">
        <v>50</v>
      </c>
      <c r="C33" s="147"/>
      <c r="D33" s="137"/>
      <c r="E33" s="137"/>
      <c r="F33" s="137"/>
      <c r="G33" s="138"/>
      <c r="H33" s="136"/>
      <c r="I33" s="137"/>
      <c r="J33" s="138"/>
      <c r="K33" s="136"/>
      <c r="L33" s="137"/>
      <c r="M33" s="137"/>
      <c r="N33" s="137"/>
      <c r="O33" s="137"/>
      <c r="P33" s="137"/>
      <c r="Q33" s="137"/>
      <c r="R33" s="137"/>
      <c r="S33" s="137"/>
      <c r="T33" s="74"/>
      <c r="U33" s="160"/>
      <c r="V33" s="2"/>
      <c r="W33" s="100"/>
      <c r="X33" s="101"/>
      <c r="Y33" s="101"/>
      <c r="Z33" s="102"/>
      <c r="AA33" s="141"/>
      <c r="AB33" s="142"/>
      <c r="AC33" s="143"/>
      <c r="AD33" s="97"/>
      <c r="AE33" s="95"/>
      <c r="AF33" s="96"/>
      <c r="AG33" s="97"/>
      <c r="AH33" s="95"/>
      <c r="AI33" s="96"/>
      <c r="AJ33" s="97"/>
      <c r="AK33" s="95"/>
      <c r="AL33" s="96"/>
      <c r="AM33" s="97"/>
      <c r="AN33" s="95"/>
      <c r="AO33" s="96"/>
      <c r="AP33" s="97"/>
      <c r="AQ33" s="95"/>
      <c r="AR33" s="96"/>
      <c r="AS33" s="139">
        <f t="shared" si="1"/>
        <v>0</v>
      </c>
      <c r="AT33" s="96"/>
      <c r="AU33" s="158"/>
      <c r="AV33" s="158"/>
      <c r="AW33" s="159"/>
    </row>
    <row r="34" spans="1:52" ht="13.5" customHeight="1">
      <c r="A34" s="146">
        <v>3.4</v>
      </c>
      <c r="B34" s="112" t="s">
        <v>51</v>
      </c>
      <c r="C34" s="147"/>
      <c r="D34" s="137"/>
      <c r="E34" s="137"/>
      <c r="F34" s="137"/>
      <c r="G34" s="138"/>
      <c r="H34" s="136"/>
      <c r="I34" s="137"/>
      <c r="J34" s="138"/>
      <c r="K34" s="136"/>
      <c r="L34" s="137"/>
      <c r="M34" s="137"/>
      <c r="N34" s="137"/>
      <c r="O34" s="137"/>
      <c r="P34" s="137"/>
      <c r="Q34" s="137"/>
      <c r="R34" s="137"/>
      <c r="S34" s="137"/>
      <c r="T34" s="74"/>
      <c r="U34" s="160"/>
      <c r="V34" s="2"/>
      <c r="W34" s="100"/>
      <c r="X34" s="101"/>
      <c r="Y34" s="101"/>
      <c r="Z34" s="102"/>
      <c r="AA34" s="141"/>
      <c r="AB34" s="142"/>
      <c r="AC34" s="143"/>
      <c r="AD34" s="97"/>
      <c r="AE34" s="95"/>
      <c r="AF34" s="96"/>
      <c r="AG34" s="97"/>
      <c r="AH34" s="95"/>
      <c r="AI34" s="96"/>
      <c r="AJ34" s="97"/>
      <c r="AK34" s="95"/>
      <c r="AL34" s="96"/>
      <c r="AM34" s="97"/>
      <c r="AN34" s="95"/>
      <c r="AO34" s="96"/>
      <c r="AP34" s="97"/>
      <c r="AQ34" s="95"/>
      <c r="AR34" s="96"/>
      <c r="AS34" s="139">
        <f t="shared" si="1"/>
        <v>0</v>
      </c>
      <c r="AT34" s="96"/>
      <c r="AU34" s="158"/>
      <c r="AV34" s="158"/>
      <c r="AW34" s="159"/>
    </row>
    <row r="35" spans="1:52" ht="13.5" customHeight="1">
      <c r="A35" s="146">
        <v>3.5</v>
      </c>
      <c r="B35" s="112" t="s">
        <v>52</v>
      </c>
      <c r="C35" s="147"/>
      <c r="D35" s="137"/>
      <c r="E35" s="137"/>
      <c r="F35" s="137"/>
      <c r="G35" s="138"/>
      <c r="H35" s="136"/>
      <c r="I35" s="137"/>
      <c r="J35" s="138"/>
      <c r="K35" s="136"/>
      <c r="L35" s="137"/>
      <c r="M35" s="137"/>
      <c r="N35" s="137"/>
      <c r="O35" s="137"/>
      <c r="P35" s="137"/>
      <c r="Q35" s="137"/>
      <c r="R35" s="137"/>
      <c r="S35" s="137"/>
      <c r="T35" s="74"/>
      <c r="U35" s="160"/>
      <c r="V35" s="2"/>
      <c r="W35" s="100"/>
      <c r="X35" s="101"/>
      <c r="Y35" s="101"/>
      <c r="Z35" s="102"/>
      <c r="AA35" s="141"/>
      <c r="AB35" s="142"/>
      <c r="AC35" s="143"/>
      <c r="AD35" s="97"/>
      <c r="AE35" s="95"/>
      <c r="AF35" s="96"/>
      <c r="AG35" s="97"/>
      <c r="AH35" s="95"/>
      <c r="AI35" s="96"/>
      <c r="AJ35" s="97"/>
      <c r="AK35" s="95"/>
      <c r="AL35" s="96"/>
      <c r="AM35" s="97"/>
      <c r="AN35" s="95"/>
      <c r="AO35" s="96"/>
      <c r="AP35" s="97"/>
      <c r="AQ35" s="95"/>
      <c r="AR35" s="96"/>
      <c r="AS35" s="139">
        <f t="shared" si="1"/>
        <v>0</v>
      </c>
      <c r="AT35" s="96"/>
      <c r="AU35" s="158"/>
      <c r="AV35" s="158"/>
      <c r="AW35" s="159"/>
    </row>
    <row r="36" spans="1:52" ht="13.5" customHeight="1">
      <c r="A36" s="146">
        <v>3.6</v>
      </c>
      <c r="B36" s="112" t="s">
        <v>53</v>
      </c>
      <c r="C36" s="147"/>
      <c r="D36" s="137"/>
      <c r="E36" s="137"/>
      <c r="F36" s="137"/>
      <c r="G36" s="138"/>
      <c r="H36" s="136"/>
      <c r="I36" s="137"/>
      <c r="J36" s="138"/>
      <c r="K36" s="136"/>
      <c r="L36" s="137"/>
      <c r="M36" s="137"/>
      <c r="N36" s="137"/>
      <c r="O36" s="137"/>
      <c r="P36" s="137"/>
      <c r="Q36" s="137"/>
      <c r="R36" s="137"/>
      <c r="S36" s="137"/>
      <c r="T36" s="74"/>
      <c r="U36" s="160"/>
      <c r="V36" s="2"/>
      <c r="W36" s="100"/>
      <c r="X36" s="101"/>
      <c r="Y36" s="101"/>
      <c r="Z36" s="102"/>
      <c r="AA36" s="141"/>
      <c r="AB36" s="142"/>
      <c r="AC36" s="143"/>
      <c r="AD36" s="97"/>
      <c r="AE36" s="95"/>
      <c r="AF36" s="96"/>
      <c r="AG36" s="97"/>
      <c r="AH36" s="95"/>
      <c r="AI36" s="96"/>
      <c r="AJ36" s="97"/>
      <c r="AK36" s="95"/>
      <c r="AL36" s="96"/>
      <c r="AM36" s="97"/>
      <c r="AN36" s="95"/>
      <c r="AO36" s="96"/>
      <c r="AP36" s="97"/>
      <c r="AQ36" s="95"/>
      <c r="AR36" s="96"/>
      <c r="AS36" s="139">
        <f t="shared" si="1"/>
        <v>0</v>
      </c>
      <c r="AT36" s="96"/>
      <c r="AU36" s="158"/>
      <c r="AV36" s="158"/>
      <c r="AW36" s="159"/>
    </row>
    <row r="37" spans="1:52" ht="13.5" customHeight="1" thickBot="1">
      <c r="A37" s="146">
        <v>3.7</v>
      </c>
      <c r="B37" s="161" t="s">
        <v>38</v>
      </c>
      <c r="C37" s="162"/>
      <c r="D37" s="150"/>
      <c r="E37" s="163"/>
      <c r="F37" s="164"/>
      <c r="G37" s="165"/>
      <c r="H37" s="166"/>
      <c r="I37" s="164"/>
      <c r="J37" s="165"/>
      <c r="K37" s="166"/>
      <c r="L37" s="164"/>
      <c r="M37" s="165"/>
      <c r="N37" s="166"/>
      <c r="O37" s="164"/>
      <c r="P37" s="165"/>
      <c r="Q37" s="166"/>
      <c r="R37" s="164"/>
      <c r="S37" s="167"/>
      <c r="T37" s="168">
        <f>SUM(E37:S37)</f>
        <v>0</v>
      </c>
      <c r="U37" s="169"/>
      <c r="V37" s="2"/>
      <c r="W37" s="100"/>
      <c r="X37" s="101"/>
      <c r="Y37" s="101" t="s">
        <v>54</v>
      </c>
      <c r="Z37" s="102"/>
      <c r="AA37" s="122" t="s">
        <v>55</v>
      </c>
      <c r="AB37" s="123"/>
      <c r="AC37" s="124"/>
      <c r="AD37" s="170"/>
      <c r="AE37" s="171"/>
      <c r="AF37" s="172"/>
      <c r="AG37" s="170"/>
      <c r="AH37" s="171"/>
      <c r="AI37" s="172"/>
      <c r="AJ37" s="170"/>
      <c r="AK37" s="171"/>
      <c r="AL37" s="172"/>
      <c r="AM37" s="170"/>
      <c r="AN37" s="171"/>
      <c r="AO37" s="172">
        <v>3</v>
      </c>
      <c r="AP37" s="170"/>
      <c r="AQ37" s="171"/>
      <c r="AR37" s="172"/>
      <c r="AS37" s="120">
        <f t="shared" si="1"/>
        <v>3</v>
      </c>
      <c r="AT37" s="173"/>
      <c r="AU37" s="158"/>
      <c r="AV37" s="158"/>
      <c r="AW37" s="159"/>
    </row>
    <row r="38" spans="1:52" ht="13.5" customHeight="1" thickBot="1">
      <c r="A38" s="174"/>
      <c r="B38" s="175" t="s">
        <v>56</v>
      </c>
      <c r="C38" s="176"/>
      <c r="D38" s="177"/>
      <c r="E38" s="178"/>
      <c r="F38" s="179"/>
      <c r="G38" s="180"/>
      <c r="H38" s="178"/>
      <c r="I38" s="179"/>
      <c r="J38" s="181"/>
      <c r="K38" s="182"/>
      <c r="L38" s="179"/>
      <c r="M38" s="180"/>
      <c r="N38" s="178"/>
      <c r="O38" s="179"/>
      <c r="P38" s="181"/>
      <c r="Q38" s="182"/>
      <c r="R38" s="179"/>
      <c r="S38" s="180"/>
      <c r="T38" s="183"/>
      <c r="U38" s="184"/>
      <c r="V38" s="2"/>
      <c r="W38" s="100"/>
      <c r="X38" s="101"/>
      <c r="Y38" s="101"/>
      <c r="Z38" s="102"/>
      <c r="AA38" s="141"/>
      <c r="AB38" s="142"/>
      <c r="AC38" s="143"/>
      <c r="AD38" s="106"/>
      <c r="AE38" s="107"/>
      <c r="AF38" s="108"/>
      <c r="AG38" s="106"/>
      <c r="AH38" s="107"/>
      <c r="AI38" s="108"/>
      <c r="AJ38" s="106"/>
      <c r="AK38" s="107"/>
      <c r="AL38" s="108"/>
      <c r="AM38" s="106"/>
      <c r="AN38" s="107"/>
      <c r="AO38" s="108"/>
      <c r="AP38" s="106"/>
      <c r="AQ38" s="107"/>
      <c r="AR38" s="108"/>
      <c r="AS38" s="139">
        <f t="shared" si="1"/>
        <v>0</v>
      </c>
      <c r="AT38" s="108"/>
      <c r="AU38" s="158"/>
      <c r="AV38" s="158"/>
      <c r="AW38" s="159"/>
    </row>
    <row r="39" spans="1:52" ht="13.5" customHeight="1">
      <c r="A39" s="154">
        <v>4</v>
      </c>
      <c r="B39" s="185" t="s">
        <v>57</v>
      </c>
      <c r="C39" s="186"/>
      <c r="D39" s="187"/>
      <c r="E39" s="188"/>
      <c r="F39" s="189"/>
      <c r="G39" s="190"/>
      <c r="H39" s="188"/>
      <c r="I39" s="189"/>
      <c r="J39" s="191"/>
      <c r="K39" s="192"/>
      <c r="L39" s="189"/>
      <c r="M39" s="190"/>
      <c r="N39" s="188"/>
      <c r="O39" s="189"/>
      <c r="P39" s="191"/>
      <c r="Q39" s="192"/>
      <c r="R39" s="189"/>
      <c r="S39" s="190"/>
      <c r="T39" s="193"/>
      <c r="U39" s="194"/>
      <c r="V39" s="2"/>
      <c r="W39" s="100"/>
      <c r="X39" s="101"/>
      <c r="Y39" s="101"/>
      <c r="Z39" s="102"/>
      <c r="AA39" s="141"/>
      <c r="AB39" s="142"/>
      <c r="AC39" s="143"/>
      <c r="AD39" s="195"/>
      <c r="AE39" s="196"/>
      <c r="AF39" s="197"/>
      <c r="AG39" s="195"/>
      <c r="AH39" s="196"/>
      <c r="AI39" s="197"/>
      <c r="AJ39" s="195"/>
      <c r="AK39" s="196"/>
      <c r="AL39" s="197"/>
      <c r="AM39" s="195"/>
      <c r="AN39" s="196"/>
      <c r="AO39" s="197"/>
      <c r="AP39" s="195"/>
      <c r="AQ39" s="196"/>
      <c r="AR39" s="197"/>
      <c r="AS39" s="198"/>
      <c r="AT39" s="199"/>
      <c r="AU39" s="158"/>
      <c r="AV39" s="158"/>
      <c r="AW39" s="159"/>
    </row>
    <row r="40" spans="1:52" ht="13.5" customHeight="1">
      <c r="A40" s="146">
        <v>4.0999999999999996</v>
      </c>
      <c r="B40" s="112" t="s">
        <v>58</v>
      </c>
      <c r="C40" s="113"/>
      <c r="D40" s="114"/>
      <c r="E40" s="200"/>
      <c r="F40" s="201"/>
      <c r="G40" s="202"/>
      <c r="H40" s="200"/>
      <c r="I40" s="201"/>
      <c r="J40" s="203"/>
      <c r="K40" s="204"/>
      <c r="L40" s="201"/>
      <c r="M40" s="202"/>
      <c r="N40" s="200"/>
      <c r="O40" s="201"/>
      <c r="P40" s="203"/>
      <c r="Q40" s="204"/>
      <c r="R40" s="201"/>
      <c r="S40" s="202"/>
      <c r="T40" s="120">
        <f t="shared" ref="T40:T56" si="3">SUM(E40:S40)</f>
        <v>0</v>
      </c>
      <c r="U40" s="121"/>
      <c r="V40" s="2"/>
      <c r="W40" s="100"/>
      <c r="X40" s="101"/>
      <c r="Y40" s="101"/>
      <c r="Z40" s="102"/>
      <c r="AA40" s="122"/>
      <c r="AB40" s="123"/>
      <c r="AC40" s="124"/>
      <c r="AD40" s="151"/>
      <c r="AE40" s="126"/>
      <c r="AF40" s="127"/>
      <c r="AG40" s="151"/>
      <c r="AH40" s="126"/>
      <c r="AI40" s="127"/>
      <c r="AJ40" s="151"/>
      <c r="AK40" s="126"/>
      <c r="AL40" s="127"/>
      <c r="AM40" s="151"/>
      <c r="AN40" s="126"/>
      <c r="AO40" s="127"/>
      <c r="AP40" s="151"/>
      <c r="AQ40" s="126"/>
      <c r="AR40" s="127"/>
      <c r="AS40" s="120">
        <f t="shared" si="1"/>
        <v>0</v>
      </c>
      <c r="AT40" s="157"/>
      <c r="AU40" s="158"/>
      <c r="AV40" s="158"/>
      <c r="AW40" s="159"/>
    </row>
    <row r="41" spans="1:52" ht="13.5" customHeight="1">
      <c r="A41" s="146">
        <v>4.2</v>
      </c>
      <c r="B41" s="112" t="s">
        <v>59</v>
      </c>
      <c r="C41" s="113"/>
      <c r="D41" s="114"/>
      <c r="E41" s="200"/>
      <c r="F41" s="201"/>
      <c r="G41" s="202"/>
      <c r="H41" s="200"/>
      <c r="I41" s="201"/>
      <c r="J41" s="203"/>
      <c r="K41" s="204"/>
      <c r="L41" s="201"/>
      <c r="M41" s="202"/>
      <c r="N41" s="200"/>
      <c r="O41" s="201"/>
      <c r="P41" s="203"/>
      <c r="Q41" s="204"/>
      <c r="R41" s="201"/>
      <c r="S41" s="202"/>
      <c r="T41" s="120">
        <f t="shared" si="3"/>
        <v>0</v>
      </c>
      <c r="U41" s="121"/>
      <c r="V41" s="2"/>
      <c r="W41" s="100"/>
      <c r="X41" s="101"/>
      <c r="Y41" s="101"/>
      <c r="Z41" s="102"/>
      <c r="AA41" s="122"/>
      <c r="AB41" s="123"/>
      <c r="AC41" s="124"/>
      <c r="AD41" s="151"/>
      <c r="AE41" s="126"/>
      <c r="AF41" s="127"/>
      <c r="AG41" s="151"/>
      <c r="AH41" s="126"/>
      <c r="AI41" s="127"/>
      <c r="AJ41" s="151"/>
      <c r="AK41" s="126"/>
      <c r="AL41" s="127"/>
      <c r="AM41" s="151"/>
      <c r="AN41" s="126"/>
      <c r="AO41" s="127"/>
      <c r="AP41" s="151"/>
      <c r="AQ41" s="126"/>
      <c r="AR41" s="127"/>
      <c r="AS41" s="120">
        <f t="shared" si="1"/>
        <v>0</v>
      </c>
      <c r="AT41" s="157"/>
      <c r="AU41" s="158"/>
      <c r="AV41" s="158"/>
      <c r="AW41" s="159"/>
    </row>
    <row r="42" spans="1:52" ht="13.5" customHeight="1">
      <c r="A42" s="146">
        <v>4.3</v>
      </c>
      <c r="B42" s="112" t="s">
        <v>60</v>
      </c>
      <c r="C42" s="147"/>
      <c r="D42" s="137"/>
      <c r="E42" s="205"/>
      <c r="F42" s="134"/>
      <c r="G42" s="135"/>
      <c r="H42" s="205"/>
      <c r="I42" s="134"/>
      <c r="J42" s="206"/>
      <c r="K42" s="207"/>
      <c r="L42" s="134"/>
      <c r="M42" s="135"/>
      <c r="N42" s="205"/>
      <c r="O42" s="134"/>
      <c r="P42" s="206"/>
      <c r="Q42" s="207"/>
      <c r="R42" s="134"/>
      <c r="S42" s="135"/>
      <c r="T42" s="139">
        <f t="shared" si="3"/>
        <v>0</v>
      </c>
      <c r="U42" s="140">
        <f>T42</f>
        <v>0</v>
      </c>
      <c r="V42" s="2"/>
      <c r="W42" s="100"/>
      <c r="X42" s="101"/>
      <c r="Y42" s="101"/>
      <c r="Z42" s="102"/>
      <c r="AA42" s="141"/>
      <c r="AB42" s="142"/>
      <c r="AC42" s="143"/>
      <c r="AD42" s="97"/>
      <c r="AE42" s="95"/>
      <c r="AF42" s="96"/>
      <c r="AG42" s="97"/>
      <c r="AH42" s="95"/>
      <c r="AI42" s="96"/>
      <c r="AJ42" s="97"/>
      <c r="AK42" s="95"/>
      <c r="AL42" s="96"/>
      <c r="AM42" s="97"/>
      <c r="AN42" s="95"/>
      <c r="AO42" s="96"/>
      <c r="AP42" s="97"/>
      <c r="AQ42" s="95"/>
      <c r="AR42" s="96"/>
      <c r="AS42" s="139">
        <f t="shared" si="1"/>
        <v>0</v>
      </c>
      <c r="AT42" s="96"/>
      <c r="AU42" s="158"/>
      <c r="AV42" s="158"/>
      <c r="AW42" s="159"/>
    </row>
    <row r="43" spans="1:52" ht="13.5" customHeight="1">
      <c r="A43" s="146">
        <v>4.4000000000000004</v>
      </c>
      <c r="B43" s="112" t="s">
        <v>61</v>
      </c>
      <c r="C43" s="113"/>
      <c r="D43" s="114"/>
      <c r="E43" s="200"/>
      <c r="F43" s="201"/>
      <c r="G43" s="202"/>
      <c r="H43" s="200"/>
      <c r="I43" s="201"/>
      <c r="J43" s="203"/>
      <c r="K43" s="204"/>
      <c r="L43" s="201"/>
      <c r="M43" s="202"/>
      <c r="N43" s="200"/>
      <c r="O43" s="201"/>
      <c r="P43" s="203"/>
      <c r="Q43" s="204"/>
      <c r="R43" s="201"/>
      <c r="S43" s="202"/>
      <c r="T43" s="120">
        <f t="shared" si="3"/>
        <v>0</v>
      </c>
      <c r="U43" s="121"/>
      <c r="V43" s="2"/>
      <c r="W43" s="100"/>
      <c r="X43" s="101"/>
      <c r="Y43" s="101"/>
      <c r="Z43" s="102"/>
      <c r="AA43" s="122"/>
      <c r="AB43" s="123"/>
      <c r="AC43" s="124"/>
      <c r="AD43" s="151"/>
      <c r="AE43" s="126"/>
      <c r="AF43" s="127"/>
      <c r="AG43" s="151"/>
      <c r="AH43" s="126"/>
      <c r="AI43" s="127"/>
      <c r="AJ43" s="151"/>
      <c r="AK43" s="126"/>
      <c r="AL43" s="127"/>
      <c r="AM43" s="151"/>
      <c r="AN43" s="126"/>
      <c r="AO43" s="127"/>
      <c r="AP43" s="151"/>
      <c r="AQ43" s="126"/>
      <c r="AR43" s="127"/>
      <c r="AS43" s="120">
        <f t="shared" si="1"/>
        <v>0</v>
      </c>
      <c r="AT43" s="157"/>
      <c r="AU43" s="158"/>
      <c r="AV43" s="158"/>
      <c r="AW43" s="159"/>
    </row>
    <row r="44" spans="1:52" ht="13.5" customHeight="1">
      <c r="A44" s="146">
        <v>4.5</v>
      </c>
      <c r="B44" s="112" t="s">
        <v>62</v>
      </c>
      <c r="C44" s="113" t="s">
        <v>63</v>
      </c>
      <c r="D44" s="114">
        <v>8</v>
      </c>
      <c r="E44" s="200"/>
      <c r="F44" s="201"/>
      <c r="G44" s="202"/>
      <c r="H44" s="200">
        <v>2</v>
      </c>
      <c r="I44" s="201"/>
      <c r="J44" s="203"/>
      <c r="K44" s="204"/>
      <c r="L44" s="201"/>
      <c r="M44" s="202"/>
      <c r="N44" s="200"/>
      <c r="O44" s="201"/>
      <c r="P44" s="203"/>
      <c r="Q44" s="204"/>
      <c r="R44" s="201"/>
      <c r="S44" s="202"/>
      <c r="T44" s="120">
        <f t="shared" si="3"/>
        <v>2</v>
      </c>
      <c r="U44" s="121"/>
      <c r="V44" s="2"/>
      <c r="W44" s="100"/>
      <c r="X44" s="101"/>
      <c r="Y44" s="101"/>
      <c r="Z44" s="102"/>
      <c r="AA44" s="122"/>
      <c r="AB44" s="123"/>
      <c r="AC44" s="124"/>
      <c r="AD44" s="151"/>
      <c r="AE44" s="126"/>
      <c r="AF44" s="127"/>
      <c r="AG44" s="151"/>
      <c r="AH44" s="126"/>
      <c r="AI44" s="127"/>
      <c r="AJ44" s="151"/>
      <c r="AK44" s="126"/>
      <c r="AL44" s="127"/>
      <c r="AM44" s="151"/>
      <c r="AN44" s="126"/>
      <c r="AO44" s="127"/>
      <c r="AP44" s="151"/>
      <c r="AQ44" s="126"/>
      <c r="AR44" s="127"/>
      <c r="AS44" s="120">
        <f t="shared" si="1"/>
        <v>0</v>
      </c>
      <c r="AT44" s="157"/>
      <c r="AU44" s="158"/>
      <c r="AV44" s="158"/>
      <c r="AW44" s="159"/>
    </row>
    <row r="45" spans="1:52" ht="13.5" customHeight="1">
      <c r="A45" s="208">
        <v>4.5999999999999996</v>
      </c>
      <c r="B45" s="161" t="s">
        <v>38</v>
      </c>
      <c r="C45" s="162"/>
      <c r="D45" s="209"/>
      <c r="E45" s="210"/>
      <c r="F45" s="211"/>
      <c r="G45" s="212"/>
      <c r="H45" s="210"/>
      <c r="I45" s="211"/>
      <c r="J45" s="213"/>
      <c r="K45" s="214"/>
      <c r="L45" s="211"/>
      <c r="M45" s="212"/>
      <c r="N45" s="210"/>
      <c r="O45" s="211"/>
      <c r="P45" s="213"/>
      <c r="Q45" s="214"/>
      <c r="R45" s="211"/>
      <c r="S45" s="212"/>
      <c r="T45" s="215">
        <f t="shared" si="3"/>
        <v>0</v>
      </c>
      <c r="U45" s="216"/>
      <c r="V45" s="2"/>
      <c r="W45" s="100" t="s">
        <v>64</v>
      </c>
      <c r="X45" s="101"/>
      <c r="Y45" s="101"/>
      <c r="Z45" s="102"/>
      <c r="AA45" s="122" t="s">
        <v>65</v>
      </c>
      <c r="AB45" s="123"/>
      <c r="AC45" s="124"/>
      <c r="AD45" s="170"/>
      <c r="AE45" s="171"/>
      <c r="AF45" s="172"/>
      <c r="AG45" s="170"/>
      <c r="AH45" s="171">
        <v>3</v>
      </c>
      <c r="AI45" s="172"/>
      <c r="AJ45" s="170"/>
      <c r="AK45" s="171"/>
      <c r="AL45" s="172"/>
      <c r="AM45" s="170"/>
      <c r="AN45" s="171"/>
      <c r="AO45" s="172"/>
      <c r="AP45" s="170"/>
      <c r="AQ45" s="171"/>
      <c r="AR45" s="172"/>
      <c r="AS45" s="120">
        <f t="shared" si="1"/>
        <v>3</v>
      </c>
      <c r="AT45" s="173"/>
      <c r="AU45" s="158"/>
      <c r="AV45" s="158"/>
      <c r="AW45" s="159"/>
    </row>
    <row r="46" spans="1:52" ht="13.5" customHeight="1">
      <c r="A46" s="217">
        <v>5</v>
      </c>
      <c r="B46" s="185" t="s">
        <v>66</v>
      </c>
      <c r="C46" s="186"/>
      <c r="D46" s="134"/>
      <c r="E46" s="205"/>
      <c r="F46" s="134"/>
      <c r="G46" s="135"/>
      <c r="H46" s="207"/>
      <c r="I46" s="134"/>
      <c r="J46" s="135"/>
      <c r="K46" s="207"/>
      <c r="L46" s="134"/>
      <c r="M46" s="135"/>
      <c r="N46" s="207"/>
      <c r="O46" s="134"/>
      <c r="P46" s="135"/>
      <c r="Q46" s="207"/>
      <c r="R46" s="134"/>
      <c r="S46" s="135"/>
      <c r="T46" s="218">
        <f t="shared" si="3"/>
        <v>0</v>
      </c>
      <c r="U46" s="219">
        <f>T46</f>
        <v>0</v>
      </c>
      <c r="V46" s="2"/>
      <c r="W46" s="100"/>
      <c r="X46" s="101"/>
      <c r="Y46" s="101"/>
      <c r="Z46" s="102"/>
      <c r="AA46" s="141"/>
      <c r="AB46" s="142"/>
      <c r="AC46" s="143"/>
      <c r="AD46" s="106"/>
      <c r="AE46" s="107"/>
      <c r="AF46" s="108"/>
      <c r="AG46" s="106"/>
      <c r="AH46" s="107"/>
      <c r="AI46" s="108"/>
      <c r="AJ46" s="106"/>
      <c r="AK46" s="107"/>
      <c r="AL46" s="108"/>
      <c r="AM46" s="106"/>
      <c r="AN46" s="107"/>
      <c r="AO46" s="108"/>
      <c r="AP46" s="106"/>
      <c r="AQ46" s="107"/>
      <c r="AR46" s="108"/>
      <c r="AS46" s="139">
        <f t="shared" si="1"/>
        <v>0</v>
      </c>
      <c r="AT46" s="108"/>
      <c r="AU46" s="158"/>
      <c r="AV46" s="158"/>
      <c r="AW46" s="159"/>
    </row>
    <row r="47" spans="1:52" ht="13.5" customHeight="1">
      <c r="A47" s="220">
        <v>5.0999999999999996</v>
      </c>
      <c r="B47" s="112" t="s">
        <v>67</v>
      </c>
      <c r="C47" s="113" t="s">
        <v>68</v>
      </c>
      <c r="D47" s="114">
        <v>9</v>
      </c>
      <c r="E47" s="118"/>
      <c r="F47" s="116"/>
      <c r="G47" s="117"/>
      <c r="H47" s="221">
        <v>2</v>
      </c>
      <c r="I47" s="116"/>
      <c r="J47" s="117"/>
      <c r="K47" s="221"/>
      <c r="L47" s="116"/>
      <c r="M47" s="117"/>
      <c r="N47" s="221"/>
      <c r="O47" s="116"/>
      <c r="P47" s="117"/>
      <c r="Q47" s="221"/>
      <c r="R47" s="116"/>
      <c r="S47" s="117"/>
      <c r="T47" s="120">
        <f t="shared" si="3"/>
        <v>2</v>
      </c>
      <c r="U47" s="121"/>
      <c r="V47" s="2"/>
      <c r="W47" s="100"/>
      <c r="X47" s="101"/>
      <c r="Y47" s="101"/>
      <c r="Z47" s="102"/>
      <c r="AA47" s="122"/>
      <c r="AB47" s="123"/>
      <c r="AC47" s="124"/>
      <c r="AD47" s="151"/>
      <c r="AE47" s="126"/>
      <c r="AF47" s="127"/>
      <c r="AG47" s="151"/>
      <c r="AH47" s="126"/>
      <c r="AI47" s="127"/>
      <c r="AJ47" s="151"/>
      <c r="AK47" s="126"/>
      <c r="AL47" s="127"/>
      <c r="AM47" s="151"/>
      <c r="AN47" s="126"/>
      <c r="AO47" s="127"/>
      <c r="AP47" s="151"/>
      <c r="AQ47" s="126"/>
      <c r="AR47" s="127"/>
      <c r="AS47" s="120">
        <f t="shared" si="1"/>
        <v>0</v>
      </c>
      <c r="AT47" s="157"/>
      <c r="AU47" s="158"/>
      <c r="AV47" s="158"/>
      <c r="AW47" s="159"/>
      <c r="AX47" s="153"/>
      <c r="AY47" s="153"/>
      <c r="AZ47" s="153"/>
    </row>
    <row r="48" spans="1:52" ht="13.5" customHeight="1">
      <c r="A48" s="146">
        <v>5.2</v>
      </c>
      <c r="B48" s="112" t="s">
        <v>69</v>
      </c>
      <c r="C48" s="113" t="s">
        <v>70</v>
      </c>
      <c r="D48" s="114">
        <v>10</v>
      </c>
      <c r="E48" s="118"/>
      <c r="F48" s="116"/>
      <c r="G48" s="117"/>
      <c r="H48" s="221">
        <v>2</v>
      </c>
      <c r="I48" s="116"/>
      <c r="J48" s="117"/>
      <c r="K48" s="221"/>
      <c r="L48" s="116"/>
      <c r="M48" s="117"/>
      <c r="N48" s="221"/>
      <c r="O48" s="116"/>
      <c r="P48" s="117"/>
      <c r="Q48" s="221"/>
      <c r="R48" s="116"/>
      <c r="S48" s="117"/>
      <c r="T48" s="120">
        <f t="shared" si="3"/>
        <v>2</v>
      </c>
      <c r="U48" s="121"/>
      <c r="V48" s="2"/>
      <c r="W48" s="100" t="s">
        <v>71</v>
      </c>
      <c r="X48" s="101"/>
      <c r="Y48" s="101"/>
      <c r="Z48" s="102"/>
      <c r="AA48" s="122" t="s">
        <v>70</v>
      </c>
      <c r="AB48" s="123"/>
      <c r="AC48" s="124"/>
      <c r="AD48" s="151"/>
      <c r="AE48" s="126"/>
      <c r="AF48" s="127"/>
      <c r="AG48" s="151"/>
      <c r="AH48" s="126"/>
      <c r="AI48" s="127"/>
      <c r="AJ48" s="151"/>
      <c r="AK48" s="126">
        <v>3</v>
      </c>
      <c r="AL48" s="127"/>
      <c r="AM48" s="151"/>
      <c r="AN48" s="126"/>
      <c r="AO48" s="127"/>
      <c r="AP48" s="151"/>
      <c r="AQ48" s="126"/>
      <c r="AR48" s="127"/>
      <c r="AS48" s="120">
        <f t="shared" si="1"/>
        <v>3</v>
      </c>
      <c r="AT48" s="157"/>
      <c r="AU48" s="158"/>
      <c r="AV48" s="158"/>
      <c r="AW48" s="159"/>
      <c r="AX48" s="153"/>
      <c r="AY48" s="153"/>
      <c r="AZ48" s="153"/>
    </row>
    <row r="49" spans="1:52" ht="13.5" customHeight="1">
      <c r="A49" s="146">
        <v>5.3</v>
      </c>
      <c r="B49" s="112" t="s">
        <v>72</v>
      </c>
      <c r="C49" s="113"/>
      <c r="D49" s="114"/>
      <c r="E49" s="118"/>
      <c r="F49" s="116"/>
      <c r="G49" s="117"/>
      <c r="H49" s="221"/>
      <c r="I49" s="116"/>
      <c r="J49" s="117"/>
      <c r="K49" s="221"/>
      <c r="L49" s="116"/>
      <c r="M49" s="117"/>
      <c r="N49" s="221"/>
      <c r="O49" s="116"/>
      <c r="P49" s="117"/>
      <c r="Q49" s="221"/>
      <c r="R49" s="116"/>
      <c r="S49" s="117"/>
      <c r="T49" s="120">
        <f t="shared" si="3"/>
        <v>0</v>
      </c>
      <c r="U49" s="121"/>
      <c r="V49" s="2"/>
      <c r="W49" s="100"/>
      <c r="X49" s="101"/>
      <c r="Y49" s="101"/>
      <c r="Z49" s="102"/>
      <c r="AA49" s="122"/>
      <c r="AB49" s="123"/>
      <c r="AC49" s="124"/>
      <c r="AD49" s="151"/>
      <c r="AE49" s="126"/>
      <c r="AF49" s="127"/>
      <c r="AG49" s="151"/>
      <c r="AH49" s="126"/>
      <c r="AI49" s="127"/>
      <c r="AJ49" s="151"/>
      <c r="AK49" s="126"/>
      <c r="AL49" s="127"/>
      <c r="AM49" s="151"/>
      <c r="AN49" s="126"/>
      <c r="AO49" s="127"/>
      <c r="AP49" s="151"/>
      <c r="AQ49" s="126"/>
      <c r="AR49" s="127"/>
      <c r="AS49" s="120">
        <f t="shared" si="1"/>
        <v>0</v>
      </c>
      <c r="AT49" s="157"/>
      <c r="AU49" s="158"/>
      <c r="AV49" s="158"/>
      <c r="AW49" s="159"/>
      <c r="AX49" s="153"/>
      <c r="AY49" s="153"/>
      <c r="AZ49" s="153"/>
    </row>
    <row r="50" spans="1:52" ht="13.5" customHeight="1">
      <c r="A50" s="146">
        <v>5.4</v>
      </c>
      <c r="B50" s="112" t="s">
        <v>38</v>
      </c>
      <c r="C50" s="113"/>
      <c r="D50" s="114"/>
      <c r="E50" s="118"/>
      <c r="F50" s="116"/>
      <c r="G50" s="117"/>
      <c r="H50" s="221"/>
      <c r="I50" s="116"/>
      <c r="J50" s="117"/>
      <c r="K50" s="221"/>
      <c r="L50" s="116"/>
      <c r="M50" s="117"/>
      <c r="N50" s="221"/>
      <c r="O50" s="116"/>
      <c r="P50" s="117"/>
      <c r="Q50" s="221"/>
      <c r="R50" s="116"/>
      <c r="S50" s="117"/>
      <c r="T50" s="120">
        <f t="shared" si="3"/>
        <v>0</v>
      </c>
      <c r="U50" s="121"/>
      <c r="V50" s="2"/>
      <c r="W50" s="100"/>
      <c r="X50" s="222"/>
      <c r="Y50" s="101"/>
      <c r="Z50" s="102"/>
      <c r="AA50" s="122"/>
      <c r="AB50" s="123"/>
      <c r="AC50" s="124"/>
      <c r="AD50" s="223"/>
      <c r="AE50" s="224"/>
      <c r="AF50" s="225"/>
      <c r="AG50" s="226"/>
      <c r="AH50" s="224"/>
      <c r="AI50" s="225"/>
      <c r="AJ50" s="226"/>
      <c r="AK50" s="224"/>
      <c r="AL50" s="225"/>
      <c r="AM50" s="226"/>
      <c r="AN50" s="224"/>
      <c r="AO50" s="225"/>
      <c r="AP50" s="226"/>
      <c r="AQ50" s="224"/>
      <c r="AR50" s="225"/>
      <c r="AS50" s="120">
        <f t="shared" si="1"/>
        <v>0</v>
      </c>
      <c r="AT50" s="227"/>
      <c r="AU50" s="158"/>
      <c r="AV50" s="158"/>
      <c r="AW50" s="159"/>
      <c r="AX50" s="153"/>
      <c r="AY50" s="153"/>
      <c r="AZ50" s="153"/>
    </row>
    <row r="51" spans="1:52" ht="13.5" customHeight="1">
      <c r="A51" s="217">
        <v>6</v>
      </c>
      <c r="B51" s="155" t="s">
        <v>73</v>
      </c>
      <c r="C51" s="186"/>
      <c r="D51" s="134"/>
      <c r="E51" s="205"/>
      <c r="F51" s="134"/>
      <c r="G51" s="135"/>
      <c r="H51" s="207"/>
      <c r="I51" s="134"/>
      <c r="J51" s="135"/>
      <c r="K51" s="207"/>
      <c r="L51" s="134"/>
      <c r="M51" s="135"/>
      <c r="N51" s="207"/>
      <c r="O51" s="134"/>
      <c r="P51" s="135"/>
      <c r="Q51" s="207"/>
      <c r="R51" s="134"/>
      <c r="S51" s="135"/>
      <c r="T51" s="218">
        <f t="shared" si="3"/>
        <v>0</v>
      </c>
      <c r="U51" s="219">
        <f>T51</f>
        <v>0</v>
      </c>
      <c r="V51" s="2"/>
      <c r="W51" s="100"/>
      <c r="X51" s="101"/>
      <c r="Y51" s="101"/>
      <c r="Z51" s="102"/>
      <c r="AA51" s="141"/>
      <c r="AB51" s="142"/>
      <c r="AC51" s="143"/>
      <c r="AD51" s="106"/>
      <c r="AE51" s="107"/>
      <c r="AF51" s="108"/>
      <c r="AG51" s="109"/>
      <c r="AH51" s="107"/>
      <c r="AI51" s="108"/>
      <c r="AJ51" s="109"/>
      <c r="AK51" s="107"/>
      <c r="AL51" s="108"/>
      <c r="AM51" s="109"/>
      <c r="AN51" s="107"/>
      <c r="AO51" s="108"/>
      <c r="AP51" s="109"/>
      <c r="AQ51" s="107"/>
      <c r="AR51" s="108"/>
      <c r="AS51" s="139">
        <f t="shared" si="1"/>
        <v>0</v>
      </c>
      <c r="AT51" s="108"/>
      <c r="AU51" s="158"/>
      <c r="AV51" s="158"/>
      <c r="AW51" s="159"/>
      <c r="AX51" s="153"/>
      <c r="AY51" s="153"/>
      <c r="AZ51" s="153"/>
    </row>
    <row r="52" spans="1:52" ht="13.5" customHeight="1">
      <c r="A52" s="146">
        <v>6.1</v>
      </c>
      <c r="B52" s="112" t="s">
        <v>74</v>
      </c>
      <c r="C52" s="113"/>
      <c r="D52" s="114"/>
      <c r="E52" s="118"/>
      <c r="F52" s="116"/>
      <c r="G52" s="117"/>
      <c r="H52" s="221"/>
      <c r="I52" s="116"/>
      <c r="J52" s="117"/>
      <c r="K52" s="221"/>
      <c r="L52" s="116"/>
      <c r="M52" s="117"/>
      <c r="N52" s="221"/>
      <c r="O52" s="116"/>
      <c r="P52" s="117"/>
      <c r="Q52" s="221"/>
      <c r="R52" s="116"/>
      <c r="S52" s="117"/>
      <c r="T52" s="120">
        <f t="shared" si="3"/>
        <v>0</v>
      </c>
      <c r="U52" s="121"/>
      <c r="V52" s="2"/>
      <c r="W52" s="100"/>
      <c r="X52" s="101"/>
      <c r="Y52" s="101"/>
      <c r="Z52" s="102"/>
      <c r="AA52" s="122"/>
      <c r="AB52" s="123"/>
      <c r="AC52" s="124"/>
      <c r="AD52" s="228"/>
      <c r="AE52" s="229"/>
      <c r="AF52" s="230"/>
      <c r="AG52" s="231"/>
      <c r="AH52" s="229"/>
      <c r="AI52" s="230"/>
      <c r="AJ52" s="231"/>
      <c r="AK52" s="229"/>
      <c r="AL52" s="230"/>
      <c r="AM52" s="231"/>
      <c r="AN52" s="229"/>
      <c r="AO52" s="230"/>
      <c r="AP52" s="231"/>
      <c r="AQ52" s="229"/>
      <c r="AR52" s="230"/>
      <c r="AS52" s="120">
        <f t="shared" si="1"/>
        <v>0</v>
      </c>
      <c r="AT52" s="232"/>
      <c r="AU52" s="158"/>
      <c r="AV52" s="158"/>
      <c r="AW52" s="159"/>
      <c r="AX52" s="153"/>
      <c r="AY52" s="153"/>
      <c r="AZ52" s="153"/>
    </row>
    <row r="53" spans="1:52" ht="13.5" customHeight="1">
      <c r="A53" s="146">
        <v>6.2</v>
      </c>
      <c r="B53" s="112" t="s">
        <v>75</v>
      </c>
      <c r="C53" s="113"/>
      <c r="D53" s="114"/>
      <c r="E53" s="118"/>
      <c r="F53" s="116"/>
      <c r="G53" s="117"/>
      <c r="H53" s="233"/>
      <c r="I53" s="116"/>
      <c r="J53" s="117"/>
      <c r="K53" s="221"/>
      <c r="L53" s="116"/>
      <c r="M53" s="117"/>
      <c r="N53" s="221"/>
      <c r="O53" s="116"/>
      <c r="P53" s="117"/>
      <c r="Q53" s="221"/>
      <c r="R53" s="116"/>
      <c r="S53" s="117"/>
      <c r="T53" s="120">
        <f t="shared" si="3"/>
        <v>0</v>
      </c>
      <c r="U53" s="121"/>
      <c r="V53" s="2"/>
      <c r="W53" s="100"/>
      <c r="X53" s="101"/>
      <c r="Y53" s="101"/>
      <c r="Z53" s="102"/>
      <c r="AA53" s="122"/>
      <c r="AB53" s="123"/>
      <c r="AC53" s="124"/>
      <c r="AD53" s="228"/>
      <c r="AE53" s="229"/>
      <c r="AF53" s="230"/>
      <c r="AG53" s="231"/>
      <c r="AH53" s="229"/>
      <c r="AI53" s="230"/>
      <c r="AJ53" s="231"/>
      <c r="AK53" s="229"/>
      <c r="AL53" s="230"/>
      <c r="AM53" s="231"/>
      <c r="AN53" s="229"/>
      <c r="AO53" s="230"/>
      <c r="AP53" s="231"/>
      <c r="AQ53" s="229"/>
      <c r="AR53" s="230"/>
      <c r="AS53" s="120">
        <f t="shared" si="1"/>
        <v>0</v>
      </c>
      <c r="AT53" s="232"/>
      <c r="AU53" s="158"/>
      <c r="AV53" s="158"/>
      <c r="AW53" s="159"/>
      <c r="AX53" s="153"/>
      <c r="AY53" s="153"/>
      <c r="AZ53" s="153"/>
    </row>
    <row r="54" spans="1:52" ht="13.5" customHeight="1">
      <c r="A54" s="146">
        <v>6.3</v>
      </c>
      <c r="B54" s="112" t="s">
        <v>76</v>
      </c>
      <c r="C54" s="113" t="s">
        <v>77</v>
      </c>
      <c r="D54" s="114">
        <v>11</v>
      </c>
      <c r="E54" s="118"/>
      <c r="F54" s="116"/>
      <c r="G54" s="117"/>
      <c r="H54" s="221">
        <v>2</v>
      </c>
      <c r="I54" s="116"/>
      <c r="J54" s="117"/>
      <c r="K54" s="221"/>
      <c r="L54" s="116"/>
      <c r="M54" s="117"/>
      <c r="N54" s="221"/>
      <c r="O54" s="116"/>
      <c r="P54" s="117"/>
      <c r="Q54" s="221"/>
      <c r="R54" s="116"/>
      <c r="S54" s="117"/>
      <c r="T54" s="120">
        <f t="shared" si="3"/>
        <v>2</v>
      </c>
      <c r="U54" s="121"/>
      <c r="V54" s="2"/>
      <c r="W54" s="100"/>
      <c r="X54" s="101"/>
      <c r="Y54" s="101" t="s">
        <v>78</v>
      </c>
      <c r="Z54" s="102"/>
      <c r="AA54" s="122" t="s">
        <v>79</v>
      </c>
      <c r="AB54" s="123"/>
      <c r="AC54" s="124"/>
      <c r="AD54" s="228"/>
      <c r="AE54" s="229"/>
      <c r="AF54" s="230"/>
      <c r="AG54" s="231">
        <v>3</v>
      </c>
      <c r="AH54" s="229"/>
      <c r="AI54" s="230"/>
      <c r="AJ54" s="231"/>
      <c r="AK54" s="229"/>
      <c r="AL54" s="230"/>
      <c r="AM54" s="231"/>
      <c r="AN54" s="229"/>
      <c r="AO54" s="230"/>
      <c r="AP54" s="231"/>
      <c r="AQ54" s="229"/>
      <c r="AR54" s="230"/>
      <c r="AS54" s="120">
        <f t="shared" si="1"/>
        <v>3</v>
      </c>
      <c r="AT54" s="232"/>
      <c r="AU54" s="158"/>
      <c r="AV54" s="158"/>
      <c r="AW54" s="159"/>
      <c r="AX54" s="153"/>
      <c r="AY54" s="153"/>
      <c r="AZ54" s="153"/>
    </row>
    <row r="55" spans="1:52" ht="13.5" customHeight="1">
      <c r="A55" s="146">
        <v>6.4</v>
      </c>
      <c r="B55" s="112" t="s">
        <v>80</v>
      </c>
      <c r="C55" s="113"/>
      <c r="D55" s="114"/>
      <c r="E55" s="118"/>
      <c r="F55" s="116"/>
      <c r="G55" s="117"/>
      <c r="H55" s="221"/>
      <c r="I55" s="116"/>
      <c r="J55" s="117"/>
      <c r="K55" s="221"/>
      <c r="L55" s="116"/>
      <c r="M55" s="117"/>
      <c r="N55" s="221"/>
      <c r="O55" s="116"/>
      <c r="P55" s="117"/>
      <c r="Q55" s="221"/>
      <c r="R55" s="116"/>
      <c r="S55" s="117"/>
      <c r="T55" s="120">
        <f t="shared" si="3"/>
        <v>0</v>
      </c>
      <c r="U55" s="121"/>
      <c r="V55" s="2"/>
      <c r="W55" s="100"/>
      <c r="X55" s="101"/>
      <c r="Y55" s="101"/>
      <c r="Z55" s="102"/>
      <c r="AA55" s="122"/>
      <c r="AB55" s="123"/>
      <c r="AC55" s="124"/>
      <c r="AD55" s="228"/>
      <c r="AE55" s="229"/>
      <c r="AF55" s="230"/>
      <c r="AG55" s="231"/>
      <c r="AH55" s="229"/>
      <c r="AI55" s="230"/>
      <c r="AJ55" s="231"/>
      <c r="AK55" s="229"/>
      <c r="AL55" s="230"/>
      <c r="AM55" s="231"/>
      <c r="AN55" s="229"/>
      <c r="AO55" s="230"/>
      <c r="AP55" s="231"/>
      <c r="AQ55" s="229"/>
      <c r="AR55" s="230"/>
      <c r="AS55" s="120">
        <f t="shared" si="1"/>
        <v>0</v>
      </c>
      <c r="AT55" s="232"/>
      <c r="AU55" s="158"/>
      <c r="AV55" s="158"/>
      <c r="AW55" s="159"/>
      <c r="AX55" s="153"/>
      <c r="AY55" s="153"/>
      <c r="AZ55" s="153"/>
    </row>
    <row r="56" spans="1:52" ht="13.5" customHeight="1" thickBot="1">
      <c r="A56" s="146">
        <v>6.5</v>
      </c>
      <c r="B56" s="161" t="s">
        <v>38</v>
      </c>
      <c r="C56" s="162"/>
      <c r="D56" s="114"/>
      <c r="E56" s="166"/>
      <c r="F56" s="164"/>
      <c r="G56" s="165"/>
      <c r="H56" s="234"/>
      <c r="I56" s="164"/>
      <c r="J56" s="165"/>
      <c r="K56" s="234"/>
      <c r="L56" s="164"/>
      <c r="M56" s="165"/>
      <c r="N56" s="234"/>
      <c r="O56" s="164"/>
      <c r="P56" s="165"/>
      <c r="Q56" s="234"/>
      <c r="R56" s="164"/>
      <c r="S56" s="165"/>
      <c r="T56" s="120">
        <f t="shared" si="3"/>
        <v>0</v>
      </c>
      <c r="U56" s="121"/>
      <c r="V56" s="2"/>
      <c r="W56" s="100"/>
      <c r="X56" s="101"/>
      <c r="Y56" s="101" t="s">
        <v>81</v>
      </c>
      <c r="Z56" s="102"/>
      <c r="AA56" s="122" t="s">
        <v>82</v>
      </c>
      <c r="AB56" s="123"/>
      <c r="AC56" s="124"/>
      <c r="AD56" s="170"/>
      <c r="AE56" s="171"/>
      <c r="AF56" s="172"/>
      <c r="AG56" s="235"/>
      <c r="AH56" s="171">
        <v>3</v>
      </c>
      <c r="AI56" s="172"/>
      <c r="AJ56" s="235"/>
      <c r="AK56" s="171"/>
      <c r="AL56" s="172"/>
      <c r="AM56" s="235"/>
      <c r="AN56" s="171"/>
      <c r="AO56" s="172"/>
      <c r="AP56" s="235"/>
      <c r="AQ56" s="171"/>
      <c r="AR56" s="172"/>
      <c r="AS56" s="120">
        <f t="shared" si="1"/>
        <v>3</v>
      </c>
      <c r="AT56" s="173"/>
      <c r="AU56" s="158"/>
      <c r="AV56" s="158"/>
      <c r="AW56" s="159"/>
      <c r="AX56" s="153"/>
      <c r="AY56" s="153"/>
      <c r="AZ56" s="153"/>
    </row>
    <row r="57" spans="1:52" ht="13.5" customHeight="1" thickBot="1">
      <c r="A57" s="236"/>
      <c r="B57" s="175" t="s">
        <v>83</v>
      </c>
      <c r="C57" s="176"/>
      <c r="D57" s="237"/>
      <c r="E57" s="238"/>
      <c r="F57" s="239"/>
      <c r="G57" s="240"/>
      <c r="H57" s="241"/>
      <c r="I57" s="239"/>
      <c r="J57" s="240"/>
      <c r="K57" s="242"/>
      <c r="L57" s="239"/>
      <c r="M57" s="240"/>
      <c r="N57" s="241"/>
      <c r="O57" s="239"/>
      <c r="P57" s="240"/>
      <c r="Q57" s="242"/>
      <c r="R57" s="239"/>
      <c r="S57" s="240"/>
      <c r="T57" s="243"/>
      <c r="U57" s="244"/>
      <c r="V57" s="2"/>
      <c r="W57" s="100"/>
      <c r="X57" s="101"/>
      <c r="Y57" s="101"/>
      <c r="Z57" s="102"/>
      <c r="AA57" s="141"/>
      <c r="AB57" s="142"/>
      <c r="AC57" s="143"/>
      <c r="AD57" s="106"/>
      <c r="AE57" s="107"/>
      <c r="AF57" s="108"/>
      <c r="AG57" s="109"/>
      <c r="AH57" s="107"/>
      <c r="AI57" s="108"/>
      <c r="AJ57" s="109"/>
      <c r="AK57" s="107"/>
      <c r="AL57" s="108"/>
      <c r="AM57" s="109"/>
      <c r="AN57" s="107"/>
      <c r="AO57" s="108"/>
      <c r="AP57" s="109"/>
      <c r="AQ57" s="107"/>
      <c r="AR57" s="108"/>
      <c r="AS57" s="139">
        <f t="shared" si="1"/>
        <v>0</v>
      </c>
      <c r="AT57" s="108"/>
      <c r="AU57" s="158"/>
      <c r="AV57" s="158"/>
      <c r="AW57" s="159"/>
      <c r="AX57" s="153"/>
      <c r="AY57" s="153"/>
      <c r="AZ57" s="153"/>
    </row>
    <row r="58" spans="1:52" ht="13.5" customHeight="1">
      <c r="A58" s="154">
        <v>7</v>
      </c>
      <c r="B58" s="185" t="s">
        <v>84</v>
      </c>
      <c r="C58" s="186"/>
      <c r="D58" s="187"/>
      <c r="E58" s="245"/>
      <c r="F58" s="246"/>
      <c r="G58" s="247"/>
      <c r="H58" s="245"/>
      <c r="I58" s="246"/>
      <c r="J58" s="247"/>
      <c r="K58" s="248"/>
      <c r="L58" s="246"/>
      <c r="M58" s="247"/>
      <c r="N58" s="245"/>
      <c r="O58" s="246"/>
      <c r="P58" s="247"/>
      <c r="Q58" s="248"/>
      <c r="R58" s="246"/>
      <c r="S58" s="247"/>
      <c r="T58" s="193"/>
      <c r="U58" s="194"/>
      <c r="V58" s="2"/>
      <c r="W58" s="100"/>
      <c r="X58" s="101"/>
      <c r="Y58" s="101"/>
      <c r="Z58" s="102"/>
      <c r="AA58" s="141"/>
      <c r="AB58" s="142"/>
      <c r="AC58" s="143"/>
      <c r="AD58" s="249"/>
      <c r="AE58" s="250"/>
      <c r="AF58" s="251"/>
      <c r="AG58" s="252"/>
      <c r="AH58" s="250"/>
      <c r="AI58" s="251"/>
      <c r="AJ58" s="252"/>
      <c r="AK58" s="250"/>
      <c r="AL58" s="251"/>
      <c r="AM58" s="252"/>
      <c r="AN58" s="250"/>
      <c r="AO58" s="251"/>
      <c r="AP58" s="252"/>
      <c r="AQ58" s="250"/>
      <c r="AR58" s="251"/>
      <c r="AS58" s="193"/>
      <c r="AT58" s="253"/>
      <c r="AU58" s="158"/>
      <c r="AV58" s="158"/>
      <c r="AW58" s="159"/>
      <c r="AX58" s="153"/>
      <c r="AY58" s="153"/>
      <c r="AZ58" s="153"/>
    </row>
    <row r="59" spans="1:52" ht="13.5" customHeight="1">
      <c r="A59" s="220">
        <v>7.1</v>
      </c>
      <c r="B59" s="112" t="s">
        <v>85</v>
      </c>
      <c r="C59" s="113"/>
      <c r="D59" s="114"/>
      <c r="E59" s="228"/>
      <c r="F59" s="229"/>
      <c r="G59" s="230"/>
      <c r="H59" s="228"/>
      <c r="I59" s="229"/>
      <c r="J59" s="230"/>
      <c r="K59" s="231"/>
      <c r="L59" s="229"/>
      <c r="M59" s="230"/>
      <c r="N59" s="228"/>
      <c r="O59" s="229"/>
      <c r="P59" s="230"/>
      <c r="Q59" s="231"/>
      <c r="R59" s="229"/>
      <c r="S59" s="230"/>
      <c r="T59" s="120">
        <f t="shared" ref="T59:T62" si="4">SUM(E59:S59)</f>
        <v>0</v>
      </c>
      <c r="U59" s="121"/>
      <c r="V59" s="2"/>
      <c r="W59" s="100"/>
      <c r="X59" s="101"/>
      <c r="Y59" s="101"/>
      <c r="Z59" s="102"/>
      <c r="AA59" s="122"/>
      <c r="AB59" s="123"/>
      <c r="AC59" s="124"/>
      <c r="AD59" s="151"/>
      <c r="AE59" s="126"/>
      <c r="AF59" s="127"/>
      <c r="AG59" s="128"/>
      <c r="AH59" s="126"/>
      <c r="AI59" s="127"/>
      <c r="AJ59" s="128"/>
      <c r="AK59" s="126"/>
      <c r="AL59" s="127"/>
      <c r="AM59" s="128"/>
      <c r="AN59" s="126"/>
      <c r="AO59" s="127"/>
      <c r="AP59" s="128"/>
      <c r="AQ59" s="126"/>
      <c r="AR59" s="127"/>
      <c r="AS59" s="120">
        <f t="shared" si="1"/>
        <v>0</v>
      </c>
      <c r="AT59" s="157"/>
      <c r="AU59" s="158"/>
      <c r="AV59" s="158"/>
      <c r="AW59" s="159"/>
      <c r="AX59" s="153"/>
      <c r="AY59" s="153"/>
      <c r="AZ59" s="153"/>
    </row>
    <row r="60" spans="1:52" ht="13.5" customHeight="1">
      <c r="A60" s="220">
        <v>7.2</v>
      </c>
      <c r="B60" s="112" t="s">
        <v>86</v>
      </c>
      <c r="C60" s="113" t="s">
        <v>87</v>
      </c>
      <c r="D60" s="114">
        <v>12</v>
      </c>
      <c r="E60" s="228"/>
      <c r="F60" s="229"/>
      <c r="G60" s="230"/>
      <c r="H60" s="228"/>
      <c r="I60" s="229">
        <v>3</v>
      </c>
      <c r="J60" s="230"/>
      <c r="K60" s="231"/>
      <c r="L60" s="229"/>
      <c r="M60" s="230"/>
      <c r="N60" s="228"/>
      <c r="O60" s="229"/>
      <c r="P60" s="230"/>
      <c r="Q60" s="231"/>
      <c r="R60" s="229"/>
      <c r="S60" s="230"/>
      <c r="T60" s="120">
        <f t="shared" si="4"/>
        <v>3</v>
      </c>
      <c r="U60" s="121"/>
      <c r="V60" s="2"/>
      <c r="W60" s="100"/>
      <c r="X60" s="101"/>
      <c r="Y60" s="101"/>
      <c r="Z60" s="102"/>
      <c r="AA60" s="122"/>
      <c r="AB60" s="123"/>
      <c r="AC60" s="124"/>
      <c r="AD60" s="151"/>
      <c r="AE60" s="126"/>
      <c r="AF60" s="127"/>
      <c r="AG60" s="128"/>
      <c r="AH60" s="126"/>
      <c r="AI60" s="127"/>
      <c r="AJ60" s="128"/>
      <c r="AK60" s="126"/>
      <c r="AL60" s="127"/>
      <c r="AM60" s="128"/>
      <c r="AN60" s="126"/>
      <c r="AO60" s="127"/>
      <c r="AP60" s="128"/>
      <c r="AQ60" s="126"/>
      <c r="AR60" s="127"/>
      <c r="AS60" s="120">
        <f t="shared" si="1"/>
        <v>0</v>
      </c>
      <c r="AT60" s="157"/>
      <c r="AU60" s="158"/>
      <c r="AV60" s="158"/>
      <c r="AW60" s="159"/>
      <c r="AX60" s="153"/>
      <c r="AY60" s="153"/>
      <c r="AZ60" s="153"/>
    </row>
    <row r="61" spans="1:52" ht="13.5" customHeight="1">
      <c r="A61" s="220">
        <v>7.3</v>
      </c>
      <c r="B61" s="112" t="s">
        <v>88</v>
      </c>
      <c r="C61" s="113"/>
      <c r="D61" s="114"/>
      <c r="E61" s="228"/>
      <c r="F61" s="229"/>
      <c r="G61" s="230"/>
      <c r="H61" s="228"/>
      <c r="I61" s="229"/>
      <c r="J61" s="230"/>
      <c r="K61" s="231"/>
      <c r="L61" s="229"/>
      <c r="M61" s="230"/>
      <c r="N61" s="228"/>
      <c r="O61" s="229"/>
      <c r="P61" s="230"/>
      <c r="Q61" s="231"/>
      <c r="R61" s="229"/>
      <c r="S61" s="230"/>
      <c r="T61" s="120">
        <f t="shared" si="4"/>
        <v>0</v>
      </c>
      <c r="U61" s="121"/>
      <c r="V61" s="2"/>
      <c r="W61" s="100" t="s">
        <v>89</v>
      </c>
      <c r="X61" s="101"/>
      <c r="Y61" s="101"/>
      <c r="Z61" s="102"/>
      <c r="AA61" s="122" t="s">
        <v>90</v>
      </c>
      <c r="AB61" s="123"/>
      <c r="AC61" s="124"/>
      <c r="AD61" s="151"/>
      <c r="AE61" s="126"/>
      <c r="AF61" s="127"/>
      <c r="AG61" s="128">
        <v>2</v>
      </c>
      <c r="AH61" s="126"/>
      <c r="AI61" s="127"/>
      <c r="AJ61" s="128"/>
      <c r="AK61" s="126"/>
      <c r="AL61" s="127"/>
      <c r="AM61" s="128"/>
      <c r="AN61" s="126"/>
      <c r="AO61" s="127"/>
      <c r="AP61" s="128"/>
      <c r="AQ61" s="126"/>
      <c r="AR61" s="127"/>
      <c r="AS61" s="120">
        <f t="shared" si="1"/>
        <v>2</v>
      </c>
      <c r="AT61" s="157"/>
      <c r="AU61" s="158"/>
      <c r="AV61" s="158"/>
      <c r="AW61" s="159"/>
      <c r="AX61" s="153"/>
      <c r="AY61" s="153"/>
      <c r="AZ61" s="153"/>
    </row>
    <row r="62" spans="1:52" ht="13.5" customHeight="1" thickBot="1">
      <c r="A62" s="220">
        <v>7.4</v>
      </c>
      <c r="B62" s="161" t="s">
        <v>38</v>
      </c>
      <c r="C62" s="162"/>
      <c r="D62" s="209"/>
      <c r="E62" s="223"/>
      <c r="F62" s="224"/>
      <c r="G62" s="225"/>
      <c r="H62" s="223"/>
      <c r="I62" s="224"/>
      <c r="J62" s="225"/>
      <c r="K62" s="226"/>
      <c r="L62" s="224"/>
      <c r="M62" s="225"/>
      <c r="N62" s="223"/>
      <c r="O62" s="224"/>
      <c r="P62" s="225"/>
      <c r="Q62" s="226"/>
      <c r="R62" s="224"/>
      <c r="S62" s="225"/>
      <c r="T62" s="215">
        <f t="shared" si="4"/>
        <v>0</v>
      </c>
      <c r="U62" s="216"/>
      <c r="V62" s="2"/>
      <c r="W62" s="100"/>
      <c r="X62" s="101"/>
      <c r="Y62" s="101"/>
      <c r="Z62" s="102"/>
      <c r="AA62" s="122"/>
      <c r="AB62" s="123"/>
      <c r="AC62" s="124"/>
      <c r="AD62" s="170"/>
      <c r="AE62" s="171"/>
      <c r="AF62" s="172"/>
      <c r="AG62" s="235"/>
      <c r="AH62" s="171"/>
      <c r="AI62" s="172"/>
      <c r="AJ62" s="235"/>
      <c r="AK62" s="171"/>
      <c r="AL62" s="172"/>
      <c r="AM62" s="235"/>
      <c r="AN62" s="171"/>
      <c r="AO62" s="172"/>
      <c r="AP62" s="235"/>
      <c r="AQ62" s="171"/>
      <c r="AR62" s="172"/>
      <c r="AS62" s="120">
        <f t="shared" si="1"/>
        <v>0</v>
      </c>
      <c r="AT62" s="173"/>
      <c r="AU62" s="158"/>
      <c r="AV62" s="158"/>
      <c r="AW62" s="159"/>
      <c r="AX62" s="153"/>
      <c r="AY62" s="153"/>
      <c r="AZ62" s="153"/>
    </row>
    <row r="63" spans="1:52" ht="13.5" customHeight="1" thickBot="1">
      <c r="A63" s="236"/>
      <c r="B63" s="175" t="s">
        <v>91</v>
      </c>
      <c r="C63" s="176"/>
      <c r="D63" s="254"/>
      <c r="E63" s="255"/>
      <c r="F63" s="107"/>
      <c r="G63" s="108"/>
      <c r="H63" s="255"/>
      <c r="I63" s="107"/>
      <c r="J63" s="108"/>
      <c r="K63" s="256"/>
      <c r="L63" s="107"/>
      <c r="M63" s="108"/>
      <c r="N63" s="255"/>
      <c r="O63" s="107"/>
      <c r="P63" s="108"/>
      <c r="Q63" s="256"/>
      <c r="R63" s="107"/>
      <c r="S63" s="108"/>
      <c r="T63" s="218"/>
      <c r="U63" s="219"/>
      <c r="V63" s="2"/>
      <c r="W63" s="100"/>
      <c r="X63" s="101"/>
      <c r="Y63" s="101"/>
      <c r="Z63" s="102"/>
      <c r="AA63" s="141"/>
      <c r="AB63" s="142"/>
      <c r="AC63" s="143"/>
      <c r="AD63" s="106"/>
      <c r="AE63" s="107"/>
      <c r="AF63" s="108"/>
      <c r="AG63" s="109"/>
      <c r="AH63" s="107"/>
      <c r="AI63" s="108"/>
      <c r="AJ63" s="109"/>
      <c r="AK63" s="107"/>
      <c r="AL63" s="108"/>
      <c r="AM63" s="109"/>
      <c r="AN63" s="107"/>
      <c r="AO63" s="108"/>
      <c r="AP63" s="109"/>
      <c r="AQ63" s="107"/>
      <c r="AR63" s="108"/>
      <c r="AS63" s="139">
        <f t="shared" si="1"/>
        <v>0</v>
      </c>
      <c r="AT63" s="108"/>
      <c r="AU63" s="158"/>
      <c r="AV63" s="158"/>
      <c r="AW63" s="159"/>
      <c r="AX63" s="153"/>
      <c r="AY63" s="153"/>
      <c r="AZ63" s="153"/>
    </row>
    <row r="64" spans="1:52" ht="13.5" customHeight="1">
      <c r="A64" s="154">
        <v>8</v>
      </c>
      <c r="B64" s="185" t="s">
        <v>92</v>
      </c>
      <c r="C64" s="186"/>
      <c r="D64" s="257"/>
      <c r="E64" s="258"/>
      <c r="F64" s="250"/>
      <c r="G64" s="251"/>
      <c r="H64" s="259"/>
      <c r="I64" s="250"/>
      <c r="J64" s="251"/>
      <c r="K64" s="259"/>
      <c r="L64" s="250"/>
      <c r="M64" s="251"/>
      <c r="N64" s="259"/>
      <c r="O64" s="250"/>
      <c r="P64" s="251"/>
      <c r="Q64" s="259"/>
      <c r="R64" s="250"/>
      <c r="S64" s="251"/>
      <c r="T64" s="193"/>
      <c r="U64" s="194"/>
      <c r="V64" s="2"/>
      <c r="W64" s="100"/>
      <c r="X64" s="101"/>
      <c r="Y64" s="101"/>
      <c r="Z64" s="102"/>
      <c r="AA64" s="141"/>
      <c r="AB64" s="142"/>
      <c r="AC64" s="143"/>
      <c r="AD64" s="249"/>
      <c r="AE64" s="250"/>
      <c r="AF64" s="251"/>
      <c r="AG64" s="252"/>
      <c r="AH64" s="250"/>
      <c r="AI64" s="251"/>
      <c r="AJ64" s="252"/>
      <c r="AK64" s="250"/>
      <c r="AL64" s="251"/>
      <c r="AM64" s="252"/>
      <c r="AN64" s="250"/>
      <c r="AO64" s="251"/>
      <c r="AP64" s="252"/>
      <c r="AQ64" s="250"/>
      <c r="AR64" s="251"/>
      <c r="AS64" s="193"/>
      <c r="AT64" s="253"/>
      <c r="AU64" s="158"/>
      <c r="AV64" s="158"/>
      <c r="AW64" s="159"/>
      <c r="AX64" s="153"/>
      <c r="AY64" s="153"/>
      <c r="AZ64" s="153"/>
    </row>
    <row r="65" spans="1:52" ht="13.5" customHeight="1">
      <c r="A65" s="220">
        <v>8.1</v>
      </c>
      <c r="B65" s="112" t="s">
        <v>93</v>
      </c>
      <c r="C65" s="113" t="s">
        <v>94</v>
      </c>
      <c r="D65" s="260">
        <v>13</v>
      </c>
      <c r="E65" s="261"/>
      <c r="F65" s="126"/>
      <c r="G65" s="127"/>
      <c r="H65" s="262"/>
      <c r="I65" s="126">
        <v>3</v>
      </c>
      <c r="J65" s="127"/>
      <c r="K65" s="262"/>
      <c r="L65" s="126"/>
      <c r="M65" s="127"/>
      <c r="N65" s="262"/>
      <c r="O65" s="126"/>
      <c r="P65" s="127"/>
      <c r="Q65" s="262"/>
      <c r="R65" s="126"/>
      <c r="S65" s="127"/>
      <c r="T65" s="120">
        <f t="shared" ref="T65:T67" si="5">SUM(E65:S65)</f>
        <v>3</v>
      </c>
      <c r="U65" s="121"/>
      <c r="V65" s="2"/>
      <c r="W65" s="100"/>
      <c r="X65" s="101"/>
      <c r="Y65" s="101"/>
      <c r="Z65" s="102"/>
      <c r="AA65" s="122"/>
      <c r="AB65" s="123"/>
      <c r="AC65" s="124"/>
      <c r="AD65" s="151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0">
        <f t="shared" si="1"/>
        <v>0</v>
      </c>
      <c r="AT65" s="157"/>
      <c r="AU65" s="158"/>
      <c r="AV65" s="158"/>
      <c r="AW65" s="159"/>
      <c r="AX65" s="153"/>
      <c r="AY65" s="153"/>
      <c r="AZ65" s="153"/>
    </row>
    <row r="66" spans="1:52" ht="13.5" customHeight="1" thickBot="1">
      <c r="A66" s="263">
        <v>8.1999999999999993</v>
      </c>
      <c r="B66" s="161" t="s">
        <v>38</v>
      </c>
      <c r="C66" s="162"/>
      <c r="D66" s="264"/>
      <c r="E66" s="265"/>
      <c r="F66" s="171"/>
      <c r="G66" s="172"/>
      <c r="H66" s="266"/>
      <c r="I66" s="171"/>
      <c r="J66" s="172"/>
      <c r="K66" s="266"/>
      <c r="L66" s="171"/>
      <c r="M66" s="172"/>
      <c r="N66" s="266"/>
      <c r="O66" s="171"/>
      <c r="P66" s="172"/>
      <c r="Q66" s="266"/>
      <c r="R66" s="171"/>
      <c r="S66" s="172"/>
      <c r="T66" s="215">
        <f t="shared" si="5"/>
        <v>0</v>
      </c>
      <c r="U66" s="216"/>
      <c r="V66" s="2"/>
      <c r="W66" s="267" t="s">
        <v>95</v>
      </c>
      <c r="X66" s="268"/>
      <c r="Y66" s="268"/>
      <c r="Z66" s="269"/>
      <c r="AA66" s="270" t="s">
        <v>96</v>
      </c>
      <c r="AB66" s="271"/>
      <c r="AC66" s="272"/>
      <c r="AD66" s="170"/>
      <c r="AE66" s="171"/>
      <c r="AF66" s="172"/>
      <c r="AG66" s="235"/>
      <c r="AH66" s="171"/>
      <c r="AI66" s="172"/>
      <c r="AJ66" s="235"/>
      <c r="AK66" s="171"/>
      <c r="AL66" s="172"/>
      <c r="AM66" s="235"/>
      <c r="AN66" s="171"/>
      <c r="AO66" s="172">
        <v>4</v>
      </c>
      <c r="AP66" s="235"/>
      <c r="AQ66" s="171"/>
      <c r="AR66" s="172"/>
      <c r="AS66" s="120">
        <f t="shared" si="1"/>
        <v>4</v>
      </c>
      <c r="AT66" s="173"/>
      <c r="AU66" s="158"/>
      <c r="AV66" s="158"/>
      <c r="AW66" s="159"/>
      <c r="AX66" s="153"/>
      <c r="AY66" s="153"/>
      <c r="AZ66" s="153"/>
    </row>
    <row r="67" spans="1:52" ht="18" customHeight="1" thickBot="1">
      <c r="A67" s="273"/>
      <c r="B67" s="274"/>
      <c r="C67" s="274"/>
      <c r="D67" s="275" t="s">
        <v>97</v>
      </c>
      <c r="E67" s="276">
        <f t="shared" ref="E67:S67" si="6">SUM(E16:E66)</f>
        <v>2</v>
      </c>
      <c r="F67" s="276">
        <f t="shared" si="6"/>
        <v>0</v>
      </c>
      <c r="G67" s="276">
        <f t="shared" si="6"/>
        <v>0</v>
      </c>
      <c r="H67" s="276">
        <f t="shared" si="6"/>
        <v>18</v>
      </c>
      <c r="I67" s="276">
        <f t="shared" si="6"/>
        <v>6</v>
      </c>
      <c r="J67" s="276">
        <f t="shared" si="6"/>
        <v>0</v>
      </c>
      <c r="K67" s="276">
        <f t="shared" si="6"/>
        <v>0</v>
      </c>
      <c r="L67" s="276">
        <f t="shared" si="6"/>
        <v>0</v>
      </c>
      <c r="M67" s="276">
        <f t="shared" si="6"/>
        <v>0</v>
      </c>
      <c r="N67" s="276">
        <f t="shared" si="6"/>
        <v>0</v>
      </c>
      <c r="O67" s="276">
        <f t="shared" si="6"/>
        <v>0</v>
      </c>
      <c r="P67" s="276">
        <f t="shared" si="6"/>
        <v>0</v>
      </c>
      <c r="Q67" s="276">
        <f t="shared" si="6"/>
        <v>0</v>
      </c>
      <c r="R67" s="276">
        <f t="shared" si="6"/>
        <v>0</v>
      </c>
      <c r="S67" s="276">
        <f t="shared" si="6"/>
        <v>0</v>
      </c>
      <c r="T67" s="277">
        <f t="shared" si="5"/>
        <v>26</v>
      </c>
      <c r="U67" s="277"/>
      <c r="V67" s="2"/>
      <c r="W67" s="2"/>
      <c r="X67" s="2"/>
      <c r="Y67" s="2"/>
      <c r="Z67" s="2"/>
      <c r="AA67" s="2"/>
      <c r="AB67" s="2"/>
      <c r="AC67" s="2"/>
      <c r="AD67" s="278">
        <f t="shared" ref="AD67:AR67" si="7">SUM(AD16:AD66)</f>
        <v>0</v>
      </c>
      <c r="AE67" s="278">
        <f t="shared" si="7"/>
        <v>0</v>
      </c>
      <c r="AF67" s="278">
        <f t="shared" si="7"/>
        <v>0</v>
      </c>
      <c r="AG67" s="278">
        <f t="shared" si="7"/>
        <v>5</v>
      </c>
      <c r="AH67" s="278">
        <f t="shared" si="7"/>
        <v>6</v>
      </c>
      <c r="AI67" s="278">
        <f t="shared" si="7"/>
        <v>0</v>
      </c>
      <c r="AJ67" s="278">
        <f t="shared" si="7"/>
        <v>0</v>
      </c>
      <c r="AK67" s="278">
        <f t="shared" si="7"/>
        <v>3</v>
      </c>
      <c r="AL67" s="278">
        <f t="shared" si="7"/>
        <v>3</v>
      </c>
      <c r="AM67" s="278">
        <f t="shared" si="7"/>
        <v>0</v>
      </c>
      <c r="AN67" s="278">
        <f t="shared" si="7"/>
        <v>0</v>
      </c>
      <c r="AO67" s="278">
        <f t="shared" si="7"/>
        <v>7</v>
      </c>
      <c r="AP67" s="278">
        <f t="shared" si="7"/>
        <v>0</v>
      </c>
      <c r="AQ67" s="278">
        <f t="shared" si="7"/>
        <v>0</v>
      </c>
      <c r="AR67" s="278">
        <f t="shared" si="7"/>
        <v>0</v>
      </c>
      <c r="AS67" s="279">
        <f t="shared" si="1"/>
        <v>24</v>
      </c>
      <c r="AT67" s="280"/>
      <c r="AU67" s="158"/>
      <c r="AV67" s="158"/>
      <c r="AW67" s="159"/>
      <c r="AX67" s="153"/>
      <c r="AY67" s="153"/>
      <c r="AZ67" s="153"/>
    </row>
    <row r="68" spans="1:52" ht="13.5" customHeight="1" thickBot="1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2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  <c r="AN68" s="283"/>
      <c r="AO68" s="283"/>
      <c r="AP68" s="283"/>
      <c r="AQ68" s="283"/>
      <c r="AR68" s="283"/>
      <c r="AS68" s="283"/>
      <c r="AT68" s="283"/>
      <c r="AU68" s="283"/>
      <c r="AV68" s="283"/>
    </row>
    <row r="69" spans="1:52" ht="13.5" customHeight="1" thickBot="1">
      <c r="A69" s="281"/>
      <c r="B69" s="281"/>
      <c r="C69" s="284"/>
      <c r="D69" s="285" t="s">
        <v>98</v>
      </c>
      <c r="E69" s="13"/>
      <c r="F69" s="13"/>
      <c r="G69" s="13"/>
      <c r="H69" s="13"/>
      <c r="I69" s="13"/>
      <c r="J69" s="286" t="s">
        <v>44</v>
      </c>
      <c r="K69" s="13"/>
      <c r="L69" s="14"/>
      <c r="M69" s="281"/>
      <c r="N69" s="281"/>
      <c r="O69" s="281"/>
      <c r="P69" s="287" t="s">
        <v>99</v>
      </c>
      <c r="Q69" s="36"/>
      <c r="R69" s="36"/>
      <c r="S69" s="287" t="s">
        <v>44</v>
      </c>
      <c r="T69" s="36"/>
      <c r="U69" s="288"/>
      <c r="V69" s="289" t="s">
        <v>13</v>
      </c>
      <c r="W69" s="290" t="s">
        <v>14</v>
      </c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  <c r="AS69" s="283"/>
      <c r="AT69" s="283"/>
      <c r="AU69" s="283"/>
      <c r="AV69" s="283"/>
    </row>
    <row r="70" spans="1:52" ht="13.5" customHeight="1" thickBot="1">
      <c r="A70" s="281"/>
      <c r="B70" s="281"/>
      <c r="C70" s="291"/>
      <c r="D70" s="292" t="s">
        <v>100</v>
      </c>
      <c r="E70" s="19"/>
      <c r="F70" s="19"/>
      <c r="G70" s="19"/>
      <c r="H70" s="19"/>
      <c r="I70" s="293"/>
      <c r="J70" s="283">
        <v>50</v>
      </c>
      <c r="K70" s="294"/>
      <c r="L70" s="295"/>
      <c r="M70" s="281"/>
      <c r="N70" s="281"/>
      <c r="O70" s="281"/>
      <c r="P70" s="296" t="s">
        <v>101</v>
      </c>
      <c r="Q70" s="297"/>
      <c r="R70" s="298"/>
      <c r="S70" s="299">
        <v>50</v>
      </c>
      <c r="T70" s="297"/>
      <c r="U70" s="300"/>
      <c r="V70" s="301">
        <v>25</v>
      </c>
      <c r="W70" s="302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  <c r="AN70" s="283"/>
      <c r="AO70" s="283"/>
      <c r="AP70" s="283"/>
      <c r="AQ70" s="283"/>
      <c r="AR70" s="283"/>
      <c r="AS70" s="283"/>
      <c r="AT70" s="283"/>
      <c r="AU70" s="283"/>
      <c r="AV70" s="283"/>
    </row>
    <row r="71" spans="1:52" ht="13.5" customHeight="1">
      <c r="A71" s="281"/>
      <c r="B71" s="281"/>
      <c r="C71" s="291"/>
      <c r="D71" s="303" t="s">
        <v>102</v>
      </c>
      <c r="E71" s="304"/>
      <c r="F71" s="304"/>
      <c r="G71" s="304"/>
      <c r="H71" s="304"/>
      <c r="I71" s="305"/>
      <c r="J71" s="283">
        <v>30</v>
      </c>
      <c r="K71" s="19"/>
      <c r="L71" s="295"/>
      <c r="M71" s="281"/>
      <c r="N71" s="281"/>
      <c r="O71" s="281"/>
      <c r="P71" s="306" t="s">
        <v>103</v>
      </c>
      <c r="Q71" s="307"/>
      <c r="R71" s="308"/>
      <c r="S71" s="309">
        <v>30</v>
      </c>
      <c r="T71" s="307"/>
      <c r="U71" s="310"/>
      <c r="V71" s="311">
        <v>15</v>
      </c>
      <c r="W71" s="312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</row>
    <row r="72" spans="1:52" ht="13.5" customHeight="1" thickBot="1">
      <c r="A72" s="281"/>
      <c r="B72" s="281"/>
      <c r="C72" s="291"/>
      <c r="D72" s="313" t="s">
        <v>104</v>
      </c>
      <c r="E72" s="314"/>
      <c r="F72" s="314"/>
      <c r="G72" s="314"/>
      <c r="H72" s="314"/>
      <c r="I72" s="315"/>
      <c r="J72" s="316">
        <v>20</v>
      </c>
      <c r="K72" s="27"/>
      <c r="L72" s="41"/>
      <c r="M72" s="281"/>
      <c r="N72" s="281"/>
      <c r="O72" s="281"/>
      <c r="P72" s="317" t="s">
        <v>105</v>
      </c>
      <c r="Q72" s="314"/>
      <c r="R72" s="315"/>
      <c r="S72" s="318">
        <v>20</v>
      </c>
      <c r="T72" s="314"/>
      <c r="U72" s="319"/>
      <c r="V72" s="320">
        <v>10</v>
      </c>
      <c r="W72" s="321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  <c r="AK72" s="283"/>
      <c r="AL72" s="283"/>
      <c r="AM72" s="283"/>
      <c r="AN72" s="283"/>
      <c r="AO72" s="283"/>
      <c r="AP72" s="283"/>
      <c r="AQ72" s="283"/>
      <c r="AR72" s="283"/>
      <c r="AS72" s="283"/>
      <c r="AT72" s="283"/>
      <c r="AU72" s="283"/>
      <c r="AV72" s="283"/>
    </row>
    <row r="73" spans="1:52" ht="13.5" customHeight="1" thickBot="1">
      <c r="A73" s="281"/>
      <c r="B73" s="281"/>
      <c r="C73" s="281"/>
      <c r="D73" s="322" t="s">
        <v>97</v>
      </c>
      <c r="E73" s="323"/>
      <c r="F73" s="323"/>
      <c r="G73" s="323"/>
      <c r="H73" s="323"/>
      <c r="I73" s="323"/>
      <c r="J73" s="316">
        <v>100</v>
      </c>
      <c r="K73" s="27"/>
      <c r="L73" s="41"/>
      <c r="M73" s="281"/>
      <c r="N73" s="281"/>
      <c r="O73" s="281"/>
      <c r="P73" s="324" t="s">
        <v>106</v>
      </c>
      <c r="Q73" s="27"/>
      <c r="R73" s="27"/>
      <c r="S73" s="324">
        <v>100</v>
      </c>
      <c r="T73" s="27"/>
      <c r="U73" s="41"/>
      <c r="V73" s="325">
        <f>SUM(V70:V72)</f>
        <v>50</v>
      </c>
      <c r="W73" s="326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/>
      <c r="AN73" s="283"/>
      <c r="AO73" s="283"/>
      <c r="AP73" s="283"/>
      <c r="AQ73" s="283"/>
      <c r="AR73" s="283"/>
      <c r="AS73" s="283"/>
      <c r="AT73" s="283"/>
      <c r="AU73" s="283"/>
      <c r="AV73" s="283"/>
    </row>
    <row r="74" spans="1:52" ht="13.5" customHeight="1" thickBot="1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2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  <c r="AK74" s="283"/>
      <c r="AL74" s="283"/>
      <c r="AM74" s="283"/>
      <c r="AN74" s="283"/>
      <c r="AO74" s="283"/>
      <c r="AP74" s="283"/>
      <c r="AQ74" s="283"/>
      <c r="AR74" s="283"/>
      <c r="AS74" s="283"/>
      <c r="AT74" s="283"/>
      <c r="AU74" s="283"/>
      <c r="AV74" s="283"/>
    </row>
    <row r="75" spans="1:52" ht="13.5" customHeight="1" thickBot="1">
      <c r="A75" s="327"/>
      <c r="B75" s="328" t="s">
        <v>107</v>
      </c>
      <c r="C75" s="329"/>
      <c r="D75" s="330">
        <f>SUM(T67+AS67)</f>
        <v>50</v>
      </c>
      <c r="E75" s="331"/>
      <c r="F75" s="331"/>
      <c r="G75" s="331"/>
      <c r="H75" s="331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2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  <c r="AI75" s="283"/>
      <c r="AJ75" s="283"/>
      <c r="AK75" s="283"/>
      <c r="AL75" s="283"/>
      <c r="AM75" s="283"/>
      <c r="AN75" s="283"/>
      <c r="AO75" s="283"/>
      <c r="AP75" s="283"/>
      <c r="AQ75" s="283"/>
      <c r="AR75" s="283"/>
      <c r="AS75" s="283"/>
      <c r="AT75" s="283"/>
      <c r="AU75" s="283"/>
      <c r="AV75" s="283"/>
    </row>
    <row r="76" spans="1:52" ht="13.5" customHeight="1" thickBot="1">
      <c r="A76" s="294"/>
      <c r="B76" s="328" t="s">
        <v>108</v>
      </c>
      <c r="C76" s="333"/>
      <c r="D76" s="334" t="s">
        <v>109</v>
      </c>
      <c r="E76" s="27"/>
      <c r="F76" s="27"/>
      <c r="G76" s="27"/>
      <c r="H76" s="27"/>
      <c r="I76" s="41"/>
      <c r="J76" s="335" t="s">
        <v>110</v>
      </c>
      <c r="K76" s="27"/>
      <c r="L76" s="27"/>
      <c r="M76" s="27"/>
      <c r="N76" s="27"/>
      <c r="O76" s="27"/>
      <c r="P76" s="336" t="s">
        <v>111</v>
      </c>
      <c r="Q76" s="337"/>
      <c r="R76" s="337"/>
      <c r="S76" s="337"/>
      <c r="T76" s="337"/>
      <c r="U76" s="337"/>
      <c r="V76" s="337"/>
      <c r="W76" s="338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  <c r="AO76" s="283"/>
      <c r="AP76" s="283"/>
      <c r="AQ76" s="283"/>
      <c r="AR76" s="283"/>
      <c r="AS76" s="283"/>
      <c r="AT76" s="283"/>
      <c r="AU76" s="283"/>
      <c r="AV76" s="283"/>
    </row>
    <row r="77" spans="1:52" ht="13.5" customHeight="1" thickBot="1">
      <c r="A77" s="294"/>
      <c r="B77" s="328" t="s">
        <v>107</v>
      </c>
      <c r="C77" s="339"/>
      <c r="D77" s="340">
        <f>SUM(E67,H67,K67,N67,Q67,AD67,AG67,AJ67,AM67,AP67)</f>
        <v>25</v>
      </c>
      <c r="E77" s="341"/>
      <c r="F77" s="341"/>
      <c r="G77" s="341"/>
      <c r="H77" s="341"/>
      <c r="I77" s="342"/>
      <c r="J77" s="343">
        <f>SUM(F67,I67,L67,O67,R67,AE67,AH67,AK67,AN67,AQ67)</f>
        <v>15</v>
      </c>
      <c r="K77" s="341"/>
      <c r="L77" s="341"/>
      <c r="M77" s="341"/>
      <c r="N77" s="341"/>
      <c r="O77" s="341"/>
      <c r="P77" s="344">
        <f>SUM(G67,J67,M67,P67,S67,AF67,AI67,AL67,AO67,AR67)</f>
        <v>10</v>
      </c>
      <c r="Q77" s="345"/>
      <c r="R77" s="345"/>
      <c r="S77" s="345"/>
      <c r="T77" s="345"/>
      <c r="U77" s="345"/>
      <c r="V77" s="345"/>
      <c r="W77" s="346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  <c r="AN77" s="283"/>
      <c r="AO77" s="283"/>
      <c r="AP77" s="283"/>
      <c r="AQ77" s="283"/>
      <c r="AR77" s="283"/>
      <c r="AS77" s="283"/>
      <c r="AT77" s="283"/>
      <c r="AU77" s="283"/>
      <c r="AV77" s="283"/>
    </row>
    <row r="78" spans="1:52" ht="13.5" customHeight="1" thickBot="1">
      <c r="A78" s="294"/>
      <c r="B78" s="328" t="s">
        <v>112</v>
      </c>
      <c r="C78" s="339"/>
      <c r="D78" s="347">
        <f>SUM(D77/D75)*10</f>
        <v>5</v>
      </c>
      <c r="E78" s="304"/>
      <c r="F78" s="304"/>
      <c r="G78" s="304"/>
      <c r="H78" s="304"/>
      <c r="I78" s="348"/>
      <c r="J78" s="349">
        <f>SUM(J77/D75)*10</f>
        <v>3</v>
      </c>
      <c r="K78" s="304"/>
      <c r="L78" s="304"/>
      <c r="M78" s="304"/>
      <c r="N78" s="304"/>
      <c r="O78" s="348"/>
      <c r="P78" s="350">
        <f>SUM(P77/D75)*10</f>
        <v>2</v>
      </c>
      <c r="Q78" s="351"/>
      <c r="R78" s="351"/>
      <c r="S78" s="351"/>
      <c r="T78" s="351"/>
      <c r="U78" s="351"/>
      <c r="V78" s="351"/>
      <c r="W78" s="352"/>
      <c r="X78" s="283"/>
      <c r="Y78" s="283"/>
      <c r="Z78" s="283"/>
      <c r="AA78" s="283"/>
      <c r="AB78" s="283"/>
      <c r="AC78" s="283"/>
      <c r="AD78" s="283"/>
      <c r="AE78" s="283"/>
      <c r="AF78" s="283"/>
      <c r="AG78" s="283"/>
      <c r="AH78" s="283"/>
      <c r="AI78" s="283"/>
      <c r="AJ78" s="283"/>
      <c r="AK78" s="283"/>
      <c r="AL78" s="283"/>
      <c r="AM78" s="283"/>
      <c r="AN78" s="283"/>
      <c r="AO78" s="283"/>
      <c r="AP78" s="283"/>
      <c r="AQ78" s="283"/>
      <c r="AR78" s="283"/>
      <c r="AS78" s="283"/>
      <c r="AT78" s="283"/>
      <c r="AU78" s="283"/>
      <c r="AV78" s="283"/>
    </row>
    <row r="79" spans="1:52" ht="26.25" customHeight="1" thickBot="1">
      <c r="A79" s="294"/>
      <c r="B79" s="328" t="s">
        <v>113</v>
      </c>
      <c r="C79" s="353"/>
      <c r="D79" s="354" t="s">
        <v>114</v>
      </c>
      <c r="E79" s="13"/>
      <c r="F79" s="355"/>
      <c r="G79" s="356" t="s">
        <v>9</v>
      </c>
      <c r="H79" s="13"/>
      <c r="I79" s="14"/>
      <c r="J79" s="357" t="s">
        <v>9</v>
      </c>
      <c r="K79" s="355"/>
      <c r="L79" s="358" t="s">
        <v>10</v>
      </c>
      <c r="M79" s="359"/>
      <c r="N79" s="356" t="s">
        <v>11</v>
      </c>
      <c r="O79" s="355"/>
      <c r="P79" s="357" t="s">
        <v>9</v>
      </c>
      <c r="Q79" s="13"/>
      <c r="R79" s="355"/>
      <c r="S79" s="356" t="s">
        <v>10</v>
      </c>
      <c r="T79" s="13"/>
      <c r="U79" s="13"/>
      <c r="V79" s="360" t="s">
        <v>11</v>
      </c>
      <c r="W79" s="361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  <c r="AI79" s="283"/>
      <c r="AJ79" s="283"/>
      <c r="AK79" s="283"/>
      <c r="AL79" s="283"/>
      <c r="AM79" s="283"/>
      <c r="AN79" s="283"/>
      <c r="AO79" s="283"/>
      <c r="AP79" s="283"/>
      <c r="AQ79" s="283"/>
      <c r="AR79" s="283"/>
      <c r="AS79" s="283"/>
      <c r="AT79" s="283"/>
      <c r="AU79" s="283"/>
      <c r="AV79" s="283"/>
    </row>
    <row r="80" spans="1:52" ht="13.5" customHeight="1" thickBot="1">
      <c r="A80" s="294"/>
      <c r="B80" s="328" t="s">
        <v>115</v>
      </c>
      <c r="C80" s="362"/>
      <c r="D80" s="363">
        <f>SUM(E67,AD67)</f>
        <v>2</v>
      </c>
      <c r="E80" s="364"/>
      <c r="F80" s="365"/>
      <c r="G80" s="366">
        <f>SUM(H67,AG67)</f>
        <v>23</v>
      </c>
      <c r="H80" s="364"/>
      <c r="I80" s="367"/>
      <c r="J80" s="368">
        <f>SUM(I67,AH67)</f>
        <v>12</v>
      </c>
      <c r="K80" s="365"/>
      <c r="L80" s="366">
        <f>SUM(L67,AK67)</f>
        <v>3</v>
      </c>
      <c r="M80" s="365"/>
      <c r="N80" s="368">
        <f>SUM(AN67,O67)</f>
        <v>0</v>
      </c>
      <c r="O80" s="367"/>
      <c r="P80" s="369">
        <f>SUM(J67,AI67)</f>
        <v>0</v>
      </c>
      <c r="Q80" s="370"/>
      <c r="R80" s="371"/>
      <c r="S80" s="372">
        <f>SUM(M67,AL67)</f>
        <v>3</v>
      </c>
      <c r="T80" s="370"/>
      <c r="U80" s="370"/>
      <c r="V80" s="373">
        <f>SUM(P67,AO67)</f>
        <v>7</v>
      </c>
      <c r="W80" s="374"/>
      <c r="X80" s="283"/>
      <c r="Y80" s="283"/>
      <c r="Z80" s="283"/>
      <c r="AA80" s="283"/>
      <c r="AB80" s="283"/>
      <c r="AC80" s="283"/>
      <c r="AD80" s="283"/>
      <c r="AE80" s="283"/>
      <c r="AF80" s="283"/>
      <c r="AG80" s="283"/>
      <c r="AH80" s="283"/>
      <c r="AI80" s="283"/>
      <c r="AJ80" s="283"/>
      <c r="AK80" s="283"/>
      <c r="AL80" s="283"/>
      <c r="AM80" s="283"/>
      <c r="AN80" s="283"/>
      <c r="AO80" s="283"/>
      <c r="AP80" s="283"/>
      <c r="AQ80" s="283"/>
      <c r="AR80" s="283"/>
      <c r="AS80" s="283"/>
      <c r="AT80" s="283"/>
      <c r="AU80" s="283"/>
      <c r="AV80" s="283"/>
    </row>
    <row r="81" spans="1:48" ht="13.5" customHeight="1" thickBot="1">
      <c r="A81" s="294"/>
      <c r="B81" s="328" t="s">
        <v>116</v>
      </c>
      <c r="C81" s="362"/>
      <c r="D81" s="375">
        <f>SUM(D80:I80)/D75*100</f>
        <v>50</v>
      </c>
      <c r="E81" s="376"/>
      <c r="F81" s="376"/>
      <c r="G81" s="376"/>
      <c r="H81" s="376"/>
      <c r="I81" s="377"/>
      <c r="J81" s="378">
        <f>SUM(J80:O80)/D75*100</f>
        <v>30</v>
      </c>
      <c r="K81" s="376"/>
      <c r="L81" s="376"/>
      <c r="M81" s="376"/>
      <c r="N81" s="376"/>
      <c r="O81" s="376"/>
      <c r="P81" s="379">
        <f>SUM(P80:W80)/D75*100</f>
        <v>20</v>
      </c>
      <c r="Q81" s="380"/>
      <c r="R81" s="380"/>
      <c r="S81" s="380"/>
      <c r="T81" s="380"/>
      <c r="U81" s="380"/>
      <c r="V81" s="380"/>
      <c r="W81" s="381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  <c r="AK81" s="283"/>
      <c r="AL81" s="283"/>
      <c r="AM81" s="283"/>
      <c r="AN81" s="283"/>
      <c r="AO81" s="283"/>
      <c r="AP81" s="283"/>
      <c r="AQ81" s="283"/>
      <c r="AR81" s="283"/>
      <c r="AS81" s="283"/>
      <c r="AT81" s="283"/>
      <c r="AU81" s="283"/>
      <c r="AV81" s="283"/>
    </row>
    <row r="82" spans="1:48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  <c r="AK82" s="283"/>
      <c r="AL82" s="283"/>
      <c r="AM82" s="283"/>
      <c r="AN82" s="283"/>
      <c r="AO82" s="283"/>
      <c r="AP82" s="283"/>
      <c r="AQ82" s="283"/>
      <c r="AR82" s="283"/>
      <c r="AS82" s="283"/>
      <c r="AT82" s="283"/>
      <c r="AU82" s="283"/>
      <c r="AV82" s="283"/>
    </row>
    <row r="83" spans="1:48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83"/>
      <c r="AL83" s="283"/>
      <c r="AM83" s="283"/>
      <c r="AN83" s="283"/>
      <c r="AO83" s="283"/>
      <c r="AP83" s="283"/>
      <c r="AQ83" s="283"/>
      <c r="AR83" s="283"/>
      <c r="AS83" s="283"/>
      <c r="AT83" s="283"/>
      <c r="AU83" s="283"/>
      <c r="AV83" s="283"/>
    </row>
    <row r="84" spans="1:48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83"/>
      <c r="AK84" s="283"/>
      <c r="AL84" s="283"/>
      <c r="AM84" s="283"/>
      <c r="AN84" s="283"/>
      <c r="AO84" s="283"/>
      <c r="AP84" s="283"/>
      <c r="AQ84" s="283"/>
      <c r="AR84" s="283"/>
      <c r="AS84" s="283"/>
      <c r="AT84" s="283"/>
      <c r="AU84" s="283"/>
      <c r="AV84" s="283"/>
    </row>
    <row r="85" spans="1:48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  <c r="AK85" s="283"/>
      <c r="AL85" s="283"/>
      <c r="AM85" s="283"/>
      <c r="AN85" s="283"/>
      <c r="AO85" s="283"/>
      <c r="AP85" s="283"/>
      <c r="AQ85" s="283"/>
      <c r="AR85" s="283"/>
      <c r="AS85" s="283"/>
      <c r="AT85" s="283"/>
      <c r="AU85" s="283"/>
      <c r="AV85" s="283"/>
    </row>
    <row r="86" spans="1:48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  <c r="AK86" s="283"/>
      <c r="AL86" s="283"/>
      <c r="AM86" s="283"/>
      <c r="AN86" s="283"/>
      <c r="AO86" s="283"/>
      <c r="AP86" s="283"/>
      <c r="AQ86" s="283"/>
      <c r="AR86" s="283"/>
      <c r="AS86" s="283"/>
      <c r="AT86" s="283"/>
      <c r="AU86" s="283"/>
      <c r="AV86" s="283"/>
    </row>
    <row r="87" spans="1:48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</row>
    <row r="88" spans="1:4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</row>
    <row r="89" spans="1:48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83"/>
      <c r="AM89" s="283"/>
      <c r="AN89" s="283"/>
      <c r="AO89" s="283"/>
      <c r="AP89" s="283"/>
      <c r="AQ89" s="283"/>
      <c r="AR89" s="283"/>
      <c r="AS89" s="283"/>
      <c r="AT89" s="283"/>
      <c r="AU89" s="283"/>
      <c r="AV89" s="283"/>
    </row>
    <row r="90" spans="1:48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3"/>
      <c r="X90" s="283"/>
      <c r="Y90" s="283"/>
      <c r="Z90" s="283"/>
      <c r="AA90" s="283"/>
      <c r="AB90" s="283"/>
      <c r="AC90" s="283"/>
      <c r="AD90" s="283"/>
      <c r="AE90" s="283"/>
      <c r="AF90" s="283"/>
      <c r="AG90" s="283"/>
      <c r="AH90" s="283"/>
      <c r="AI90" s="283"/>
      <c r="AJ90" s="283"/>
      <c r="AK90" s="283"/>
      <c r="AL90" s="283"/>
      <c r="AM90" s="283"/>
      <c r="AN90" s="283"/>
      <c r="AO90" s="283"/>
      <c r="AP90" s="283"/>
      <c r="AQ90" s="283"/>
      <c r="AR90" s="283"/>
      <c r="AS90" s="283"/>
      <c r="AT90" s="283"/>
      <c r="AU90" s="283"/>
      <c r="AV90" s="283"/>
    </row>
    <row r="91" spans="1:48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83"/>
      <c r="AM91" s="283"/>
      <c r="AN91" s="283"/>
      <c r="AO91" s="283"/>
      <c r="AP91" s="283"/>
      <c r="AQ91" s="283"/>
      <c r="AR91" s="283"/>
      <c r="AS91" s="283"/>
      <c r="AT91" s="283"/>
      <c r="AU91" s="283"/>
      <c r="AV91" s="283"/>
    </row>
    <row r="92" spans="1:48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3"/>
      <c r="X92" s="34"/>
      <c r="Y92" s="34"/>
      <c r="Z92" s="34"/>
      <c r="AA92" s="2"/>
      <c r="AB92" s="2"/>
      <c r="AC92" s="2"/>
      <c r="AD92" s="5"/>
      <c r="AE92" s="28"/>
      <c r="AF92" s="28"/>
      <c r="AG92" s="28"/>
      <c r="AH92" s="28"/>
      <c r="AI92" s="28"/>
      <c r="AJ92" s="5"/>
      <c r="AK92" s="28"/>
      <c r="AL92" s="28"/>
      <c r="AM92" s="2"/>
      <c r="AN92" s="5"/>
      <c r="AO92" s="28"/>
      <c r="AP92" s="28"/>
      <c r="AQ92" s="5"/>
      <c r="AR92" s="28"/>
      <c r="AS92" s="28"/>
      <c r="AT92" s="4"/>
      <c r="AU92" s="34"/>
      <c r="AV92" s="34"/>
    </row>
    <row r="93" spans="1:48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3"/>
      <c r="X93" s="301"/>
      <c r="Y93" s="301"/>
      <c r="Z93" s="301"/>
      <c r="AA93" s="2"/>
      <c r="AB93" s="2"/>
      <c r="AC93" s="2"/>
      <c r="AD93" s="2"/>
      <c r="AJ93" s="2"/>
      <c r="AL93" s="28"/>
      <c r="AM93" s="2"/>
      <c r="AN93" s="2"/>
      <c r="AO93" s="28"/>
      <c r="AP93" s="28"/>
      <c r="AQ93" s="2"/>
      <c r="AR93" s="28"/>
      <c r="AS93" s="28"/>
      <c r="AT93" s="4"/>
      <c r="AU93" s="34"/>
      <c r="AV93" s="34"/>
    </row>
    <row r="94" spans="1:48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3"/>
      <c r="X94" s="301"/>
      <c r="Y94" s="301"/>
      <c r="Z94" s="301"/>
      <c r="AA94" s="2"/>
      <c r="AB94" s="2"/>
      <c r="AC94" s="2"/>
      <c r="AD94" s="2"/>
      <c r="AE94" s="28"/>
      <c r="AF94" s="28"/>
      <c r="AG94" s="28"/>
      <c r="AH94" s="28"/>
      <c r="AI94" s="28"/>
      <c r="AJ94" s="2"/>
      <c r="AK94" s="28"/>
      <c r="AL94" s="28"/>
      <c r="AM94" s="2"/>
      <c r="AN94" s="2"/>
      <c r="AO94" s="28"/>
      <c r="AP94" s="28"/>
      <c r="AQ94" s="2"/>
      <c r="AR94" s="28"/>
      <c r="AS94" s="28"/>
      <c r="AT94" s="4"/>
      <c r="AU94" s="34"/>
      <c r="AV94" s="34"/>
    </row>
    <row r="95" spans="1:48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3"/>
      <c r="X95" s="301"/>
      <c r="Y95" s="301"/>
      <c r="Z95" s="301"/>
      <c r="AA95" s="2"/>
      <c r="AB95" s="2"/>
      <c r="AC95" s="2"/>
      <c r="AD95" s="2"/>
      <c r="AE95" s="28"/>
      <c r="AF95" s="28"/>
      <c r="AG95" s="28"/>
      <c r="AH95" s="28"/>
      <c r="AI95" s="28"/>
      <c r="AJ95" s="2"/>
      <c r="AK95" s="28"/>
      <c r="AL95" s="28"/>
      <c r="AM95" s="2"/>
      <c r="AN95" s="2"/>
      <c r="AO95" s="28"/>
      <c r="AP95" s="28"/>
      <c r="AQ95" s="2"/>
      <c r="AR95" s="28"/>
      <c r="AS95" s="28"/>
      <c r="AT95" s="4"/>
      <c r="AU95" s="34"/>
      <c r="AV95" s="34"/>
    </row>
    <row r="96" spans="1:48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"/>
      <c r="X96" s="301"/>
      <c r="Y96" s="301"/>
      <c r="Z96" s="301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8"/>
      <c r="AP96" s="28"/>
      <c r="AQ96" s="2"/>
      <c r="AR96" s="28"/>
      <c r="AS96" s="28"/>
      <c r="AT96" s="4"/>
      <c r="AU96" s="5"/>
      <c r="AV96" s="5"/>
    </row>
    <row r="97" spans="1:48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3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4"/>
      <c r="AU97" s="5"/>
      <c r="AV97" s="5"/>
    </row>
    <row r="98" spans="1:4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3"/>
      <c r="X98" s="2"/>
      <c r="Y98" s="2"/>
      <c r="Z98" s="382"/>
      <c r="AA98" s="383"/>
      <c r="AB98" s="5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4"/>
      <c r="AU98" s="5"/>
      <c r="AV98" s="5"/>
    </row>
    <row r="99" spans="1:48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3"/>
      <c r="X99" s="2"/>
      <c r="Y99" s="2"/>
      <c r="Z99" s="28"/>
      <c r="AA99" s="383"/>
      <c r="AB99" s="5"/>
      <c r="AC99" s="28"/>
      <c r="AD99" s="28"/>
      <c r="AE99" s="28"/>
      <c r="AF99" s="28"/>
      <c r="AG99" s="28"/>
      <c r="AH99" s="5"/>
      <c r="AI99" s="28"/>
      <c r="AJ99" s="28"/>
      <c r="AK99" s="28"/>
      <c r="AL99" s="28"/>
      <c r="AM99" s="28"/>
      <c r="AN99" s="5"/>
      <c r="AO99" s="28"/>
      <c r="AP99" s="28"/>
      <c r="AQ99" s="28"/>
      <c r="AR99" s="28"/>
      <c r="AS99" s="28"/>
      <c r="AT99" s="4"/>
      <c r="AU99" s="5"/>
      <c r="AV99" s="5"/>
    </row>
    <row r="100" spans="1:48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3"/>
      <c r="X100" s="2"/>
      <c r="Y100" s="2"/>
      <c r="Z100" s="28"/>
      <c r="AA100" s="383"/>
      <c r="AB100" s="2"/>
      <c r="AC100" s="28"/>
      <c r="AD100" s="28"/>
      <c r="AE100" s="28"/>
      <c r="AF100" s="28"/>
      <c r="AG100" s="28"/>
      <c r="AH100" s="2"/>
      <c r="AI100" s="28"/>
      <c r="AJ100" s="28"/>
      <c r="AK100" s="28"/>
      <c r="AL100" s="28"/>
      <c r="AM100" s="28"/>
      <c r="AN100" s="2"/>
      <c r="AO100" s="28"/>
      <c r="AP100" s="28"/>
      <c r="AQ100" s="28"/>
      <c r="AR100" s="28"/>
      <c r="AS100" s="28"/>
      <c r="AT100" s="384"/>
      <c r="AU100" s="28"/>
      <c r="AV100" s="4"/>
    </row>
    <row r="101" spans="1:48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3"/>
      <c r="X101" s="2"/>
      <c r="Y101" s="2"/>
      <c r="Z101" s="28"/>
      <c r="AA101" s="383"/>
      <c r="AB101" s="385"/>
      <c r="AC101" s="28"/>
      <c r="AD101" s="28"/>
      <c r="AE101" s="28"/>
      <c r="AF101" s="28"/>
      <c r="AG101" s="28"/>
      <c r="AH101" s="385"/>
      <c r="AI101" s="28"/>
      <c r="AJ101" s="28"/>
      <c r="AK101" s="28"/>
      <c r="AL101" s="28"/>
      <c r="AM101" s="28"/>
      <c r="AN101" s="386"/>
      <c r="AO101" s="28"/>
      <c r="AP101" s="28"/>
      <c r="AQ101" s="28"/>
      <c r="AR101" s="28"/>
      <c r="AS101" s="28"/>
      <c r="AT101" s="4"/>
      <c r="AU101" s="5"/>
      <c r="AV101" s="5"/>
    </row>
    <row r="102" spans="1:48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3"/>
      <c r="X102" s="2"/>
      <c r="Y102" s="2"/>
      <c r="Z102" s="382"/>
      <c r="AA102" s="387"/>
      <c r="AB102" s="2"/>
      <c r="AC102" s="28"/>
      <c r="AD102" s="28"/>
      <c r="AE102" s="2"/>
      <c r="AF102" s="28"/>
      <c r="AG102" s="28"/>
      <c r="AH102" s="2"/>
      <c r="AI102" s="28"/>
      <c r="AJ102" s="28"/>
      <c r="AK102" s="2"/>
      <c r="AL102" s="28"/>
      <c r="AM102" s="28"/>
      <c r="AN102" s="2"/>
      <c r="AO102" s="28"/>
      <c r="AP102" s="28"/>
      <c r="AQ102" s="2"/>
      <c r="AR102" s="28"/>
      <c r="AS102" s="28"/>
      <c r="AT102" s="4"/>
      <c r="AU102" s="5"/>
      <c r="AV102" s="5"/>
    </row>
    <row r="103" spans="1:48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3"/>
      <c r="X103" s="2"/>
      <c r="Y103" s="2"/>
      <c r="Z103" s="382"/>
      <c r="AA103" s="383"/>
      <c r="AB103" s="5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4"/>
      <c r="AU103" s="5"/>
      <c r="AV103" s="5"/>
    </row>
    <row r="104" spans="1:48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3"/>
      <c r="X104" s="2"/>
      <c r="Y104" s="2"/>
      <c r="Z104" s="28"/>
      <c r="AA104" s="383"/>
      <c r="AB104" s="5"/>
      <c r="AC104" s="28"/>
      <c r="AD104" s="28"/>
      <c r="AE104" s="28"/>
      <c r="AF104" s="28"/>
      <c r="AG104" s="28"/>
      <c r="AH104" s="5"/>
      <c r="AI104" s="28"/>
      <c r="AJ104" s="28"/>
      <c r="AK104" s="28"/>
      <c r="AL104" s="28"/>
      <c r="AM104" s="28"/>
      <c r="AN104" s="5"/>
      <c r="AO104" s="28"/>
      <c r="AP104" s="28"/>
      <c r="AQ104" s="28"/>
      <c r="AR104" s="28"/>
      <c r="AS104" s="28"/>
      <c r="AT104" s="4"/>
      <c r="AU104" s="5"/>
      <c r="AV104" s="5"/>
    </row>
    <row r="105" spans="1:48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3"/>
      <c r="X105" s="2"/>
      <c r="Y105" s="2"/>
      <c r="Z105" s="28"/>
      <c r="AA105" s="383"/>
      <c r="AB105" s="2"/>
      <c r="AC105" s="28"/>
      <c r="AD105" s="28"/>
      <c r="AE105" s="28"/>
      <c r="AF105" s="28"/>
      <c r="AG105" s="28"/>
      <c r="AH105" s="2"/>
      <c r="AI105" s="28"/>
      <c r="AJ105" s="28"/>
      <c r="AK105" s="28"/>
      <c r="AL105" s="28"/>
      <c r="AM105" s="28"/>
      <c r="AN105" s="2"/>
      <c r="AO105" s="28"/>
      <c r="AP105" s="28"/>
      <c r="AQ105" s="28"/>
      <c r="AR105" s="28"/>
      <c r="AS105" s="28"/>
      <c r="AT105" s="384"/>
      <c r="AU105" s="28"/>
      <c r="AV105" s="4"/>
    </row>
    <row r="106" spans="1:48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3"/>
      <c r="X106" s="2"/>
      <c r="Y106" s="2"/>
      <c r="Z106" s="28"/>
      <c r="AA106" s="383"/>
      <c r="AB106" s="385"/>
      <c r="AC106" s="28"/>
      <c r="AD106" s="28"/>
      <c r="AE106" s="28"/>
      <c r="AF106" s="28"/>
      <c r="AG106" s="28"/>
      <c r="AH106" s="385"/>
      <c r="AI106" s="28"/>
      <c r="AJ106" s="28"/>
      <c r="AK106" s="28"/>
      <c r="AL106" s="28"/>
      <c r="AM106" s="28"/>
      <c r="AN106" s="386"/>
      <c r="AO106" s="28"/>
      <c r="AP106" s="28"/>
      <c r="AQ106" s="28"/>
      <c r="AR106" s="28"/>
      <c r="AS106" s="28"/>
      <c r="AT106" s="4"/>
      <c r="AU106" s="5"/>
      <c r="AV106" s="5"/>
    </row>
    <row r="107" spans="1:48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3"/>
      <c r="X107" s="2"/>
      <c r="Y107" s="2"/>
      <c r="Z107" s="388"/>
      <c r="AA107" s="383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  <c r="AM107" s="389"/>
      <c r="AN107" s="390"/>
      <c r="AO107" s="390"/>
      <c r="AP107" s="390"/>
      <c r="AQ107" s="390"/>
      <c r="AR107" s="390"/>
      <c r="AS107" s="390"/>
      <c r="AT107" s="4"/>
      <c r="AU107" s="5"/>
      <c r="AV107" s="5"/>
    </row>
    <row r="108" spans="1:4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3"/>
      <c r="X108" s="2"/>
      <c r="Y108" s="2"/>
      <c r="Z108" s="382"/>
      <c r="AA108" s="383"/>
      <c r="AB108" s="391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4"/>
      <c r="AU108" s="5"/>
      <c r="AV108" s="5"/>
    </row>
    <row r="109" spans="1:48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3"/>
      <c r="X109" s="2"/>
      <c r="Y109" s="2"/>
      <c r="Z109" s="28"/>
      <c r="AA109" s="383"/>
      <c r="AB109" s="5"/>
      <c r="AC109" s="28"/>
      <c r="AD109" s="28"/>
      <c r="AE109" s="28"/>
      <c r="AF109" s="28"/>
      <c r="AG109" s="28"/>
      <c r="AH109" s="5"/>
      <c r="AI109" s="28"/>
      <c r="AJ109" s="28"/>
      <c r="AK109" s="28"/>
      <c r="AL109" s="28"/>
      <c r="AM109" s="28"/>
      <c r="AN109" s="5"/>
      <c r="AO109" s="28"/>
      <c r="AP109" s="28"/>
      <c r="AQ109" s="28"/>
      <c r="AR109" s="28"/>
      <c r="AS109" s="28"/>
      <c r="AT109" s="4"/>
      <c r="AU109" s="5"/>
      <c r="AV109" s="5"/>
    </row>
    <row r="110" spans="1:48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3"/>
      <c r="X110" s="2"/>
      <c r="Y110" s="2"/>
      <c r="Z110" s="28"/>
      <c r="AA110" s="383"/>
      <c r="AB110" s="2"/>
      <c r="AC110" s="28"/>
      <c r="AD110" s="28"/>
      <c r="AE110" s="28"/>
      <c r="AF110" s="28"/>
      <c r="AG110" s="28"/>
      <c r="AH110" s="2"/>
      <c r="AI110" s="28"/>
      <c r="AJ110" s="28"/>
      <c r="AK110" s="28"/>
      <c r="AL110" s="28"/>
      <c r="AM110" s="28"/>
      <c r="AN110" s="2"/>
      <c r="AO110" s="28"/>
      <c r="AP110" s="28"/>
      <c r="AQ110" s="28"/>
      <c r="AR110" s="28"/>
      <c r="AS110" s="28"/>
      <c r="AT110" s="4"/>
      <c r="AU110" s="5"/>
      <c r="AV110" s="5"/>
    </row>
    <row r="111" spans="1:48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3"/>
      <c r="X111" s="2"/>
      <c r="Y111" s="2"/>
      <c r="Z111" s="28"/>
      <c r="AA111" s="383"/>
      <c r="AB111" s="386"/>
      <c r="AC111" s="28"/>
      <c r="AD111" s="28"/>
      <c r="AE111" s="28"/>
      <c r="AF111" s="28"/>
      <c r="AG111" s="28"/>
      <c r="AH111" s="386"/>
      <c r="AI111" s="28"/>
      <c r="AJ111" s="28"/>
      <c r="AK111" s="28"/>
      <c r="AL111" s="28"/>
      <c r="AM111" s="28"/>
      <c r="AN111" s="386"/>
      <c r="AO111" s="28"/>
      <c r="AP111" s="28"/>
      <c r="AQ111" s="28"/>
      <c r="AR111" s="28"/>
      <c r="AS111" s="28"/>
      <c r="AT111" s="4"/>
      <c r="AU111" s="5"/>
      <c r="AV111" s="5"/>
    </row>
    <row r="112" spans="1:48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3"/>
      <c r="X112" s="2"/>
      <c r="Y112" s="2"/>
      <c r="Z112" s="28"/>
      <c r="AA112" s="383"/>
      <c r="AB112" s="5"/>
      <c r="AC112" s="28"/>
      <c r="AD112" s="28"/>
      <c r="AE112" s="5"/>
      <c r="AF112" s="28"/>
      <c r="AG112" s="28"/>
      <c r="AH112" s="5"/>
      <c r="AI112" s="28"/>
      <c r="AJ112" s="28"/>
      <c r="AK112" s="5"/>
      <c r="AL112" s="28"/>
      <c r="AM112" s="28"/>
      <c r="AN112" s="5"/>
      <c r="AO112" s="28"/>
      <c r="AP112" s="28"/>
      <c r="AQ112" s="5"/>
      <c r="AR112" s="28"/>
      <c r="AS112" s="28"/>
      <c r="AT112" s="4"/>
      <c r="AU112" s="5"/>
      <c r="AV112" s="5"/>
    </row>
    <row r="113" spans="1:48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3"/>
      <c r="X113" s="2"/>
      <c r="Y113" s="2"/>
      <c r="Z113" s="28"/>
      <c r="AA113" s="383"/>
      <c r="AB113" s="2"/>
      <c r="AC113" s="28"/>
      <c r="AD113" s="28"/>
      <c r="AE113" s="2"/>
      <c r="AF113" s="28"/>
      <c r="AG113" s="28"/>
      <c r="AH113" s="2"/>
      <c r="AI113" s="28"/>
      <c r="AJ113" s="28"/>
      <c r="AK113" s="2"/>
      <c r="AL113" s="28"/>
      <c r="AM113" s="28"/>
      <c r="AN113" s="2"/>
      <c r="AO113" s="28"/>
      <c r="AP113" s="28"/>
      <c r="AQ113" s="2"/>
      <c r="AR113" s="28"/>
      <c r="AS113" s="28"/>
      <c r="AT113" s="4"/>
      <c r="AU113" s="5"/>
      <c r="AV113" s="5"/>
    </row>
    <row r="114" spans="1:48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3"/>
      <c r="X114" s="2"/>
      <c r="Y114" s="2"/>
      <c r="Z114" s="28"/>
      <c r="AA114" s="383"/>
      <c r="AB114" s="386"/>
      <c r="AC114" s="28"/>
      <c r="AD114" s="28"/>
      <c r="AE114" s="28"/>
      <c r="AF114" s="28"/>
      <c r="AG114" s="28"/>
      <c r="AH114" s="386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4"/>
      <c r="AU114" s="5"/>
      <c r="AV114" s="5"/>
    </row>
    <row r="115" spans="1:48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3"/>
      <c r="X115" s="2"/>
      <c r="Y115" s="2"/>
      <c r="Z115" s="382"/>
      <c r="AA115" s="387"/>
      <c r="AB115" s="2"/>
      <c r="AC115" s="28"/>
      <c r="AD115" s="28"/>
      <c r="AE115" s="28"/>
      <c r="AF115" s="28"/>
      <c r="AG115" s="28"/>
      <c r="AH115" s="2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4"/>
      <c r="AU115" s="5"/>
      <c r="AV115" s="5"/>
    </row>
    <row r="116" spans="1:48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3"/>
      <c r="X116" s="2"/>
      <c r="Y116" s="2"/>
      <c r="Z116" s="382"/>
      <c r="AA116" s="383"/>
      <c r="AB116" s="5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4"/>
      <c r="AU116" s="5"/>
      <c r="AV116" s="5"/>
    </row>
    <row r="117" spans="1:48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/>
      <c r="X117" s="2"/>
      <c r="Y117" s="2"/>
      <c r="Z117" s="28"/>
      <c r="AA117" s="383"/>
      <c r="AB117" s="5"/>
      <c r="AC117" s="28"/>
      <c r="AD117" s="28"/>
      <c r="AE117" s="28"/>
      <c r="AF117" s="28"/>
      <c r="AG117" s="28"/>
      <c r="AH117" s="5"/>
      <c r="AI117" s="28"/>
      <c r="AJ117" s="28"/>
      <c r="AK117" s="28"/>
      <c r="AL117" s="28"/>
      <c r="AM117" s="28"/>
      <c r="AN117" s="5"/>
      <c r="AO117" s="28"/>
      <c r="AP117" s="28"/>
      <c r="AQ117" s="28"/>
      <c r="AR117" s="28"/>
      <c r="AS117" s="28"/>
      <c r="AT117" s="4"/>
      <c r="AU117" s="5"/>
      <c r="AV117" s="5"/>
    </row>
    <row r="118" spans="1:4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3"/>
      <c r="X118" s="2"/>
      <c r="Y118" s="2"/>
      <c r="Z118" s="28"/>
      <c r="AA118" s="383"/>
      <c r="AB118" s="2"/>
      <c r="AC118" s="28"/>
      <c r="AD118" s="28"/>
      <c r="AE118" s="28"/>
      <c r="AF118" s="28"/>
      <c r="AG118" s="28"/>
      <c r="AH118" s="2"/>
      <c r="AI118" s="28"/>
      <c r="AJ118" s="28"/>
      <c r="AK118" s="28"/>
      <c r="AL118" s="28"/>
      <c r="AM118" s="28"/>
      <c r="AN118" s="2"/>
      <c r="AO118" s="28"/>
      <c r="AP118" s="28"/>
      <c r="AQ118" s="28"/>
      <c r="AR118" s="28"/>
      <c r="AS118" s="28"/>
      <c r="AT118" s="384"/>
      <c r="AU118" s="28"/>
      <c r="AV118" s="4"/>
    </row>
    <row r="119" spans="1:48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3"/>
      <c r="X119" s="2"/>
      <c r="Y119" s="2"/>
      <c r="Z119" s="28"/>
      <c r="AA119" s="383"/>
      <c r="AB119" s="386"/>
      <c r="AC119" s="28"/>
      <c r="AD119" s="28"/>
      <c r="AE119" s="28"/>
      <c r="AF119" s="28"/>
      <c r="AG119" s="28"/>
      <c r="AH119" s="386"/>
      <c r="AI119" s="28"/>
      <c r="AJ119" s="28"/>
      <c r="AK119" s="28"/>
      <c r="AL119" s="28"/>
      <c r="AM119" s="28"/>
      <c r="AN119" s="386"/>
      <c r="AO119" s="28"/>
      <c r="AP119" s="28"/>
      <c r="AQ119" s="28"/>
      <c r="AR119" s="28"/>
      <c r="AS119" s="28"/>
      <c r="AT119" s="4"/>
      <c r="AU119" s="5"/>
      <c r="AV119" s="5"/>
    </row>
    <row r="120" spans="1:48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3"/>
      <c r="X120" s="2"/>
      <c r="Y120" s="2"/>
      <c r="Z120" s="382"/>
      <c r="AA120" s="387"/>
      <c r="AB120" s="2"/>
      <c r="AC120" s="28"/>
      <c r="AD120" s="28"/>
      <c r="AE120" s="2"/>
      <c r="AF120" s="28"/>
      <c r="AG120" s="28"/>
      <c r="AH120" s="2"/>
      <c r="AI120" s="28"/>
      <c r="AJ120" s="28"/>
      <c r="AK120" s="2"/>
      <c r="AL120" s="28"/>
      <c r="AM120" s="28"/>
      <c r="AN120" s="2"/>
      <c r="AO120" s="28"/>
      <c r="AP120" s="28"/>
      <c r="AQ120" s="2"/>
      <c r="AR120" s="28"/>
      <c r="AS120" s="28"/>
      <c r="AT120" s="4"/>
      <c r="AU120" s="5"/>
      <c r="AV120" s="5"/>
    </row>
    <row r="121" spans="1:48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3"/>
      <c r="X121" s="2"/>
      <c r="Y121" s="2"/>
      <c r="Z121" s="382"/>
      <c r="AA121" s="383"/>
      <c r="AB121" s="5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4"/>
      <c r="AU121" s="5"/>
      <c r="AV121" s="5"/>
    </row>
    <row r="122" spans="1:48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3"/>
      <c r="X122" s="2"/>
      <c r="Y122" s="2"/>
      <c r="Z122" s="28"/>
      <c r="AA122" s="383"/>
      <c r="AB122" s="5"/>
      <c r="AC122" s="28"/>
      <c r="AD122" s="28"/>
      <c r="AE122" s="28"/>
      <c r="AF122" s="28"/>
      <c r="AG122" s="28"/>
      <c r="AH122" s="5"/>
      <c r="AI122" s="28"/>
      <c r="AJ122" s="28"/>
      <c r="AK122" s="28"/>
      <c r="AL122" s="28"/>
      <c r="AM122" s="28"/>
      <c r="AN122" s="5"/>
      <c r="AO122" s="28"/>
      <c r="AP122" s="28"/>
      <c r="AQ122" s="28"/>
      <c r="AR122" s="28"/>
      <c r="AS122" s="28"/>
      <c r="AT122" s="4"/>
      <c r="AU122" s="5"/>
      <c r="AV122" s="5"/>
    </row>
    <row r="123" spans="1:48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3"/>
      <c r="X123" s="2"/>
      <c r="Y123" s="2"/>
      <c r="Z123" s="28"/>
      <c r="AA123" s="383"/>
      <c r="AB123" s="2"/>
      <c r="AC123" s="28"/>
      <c r="AD123" s="28"/>
      <c r="AE123" s="28"/>
      <c r="AF123" s="28"/>
      <c r="AG123" s="28"/>
      <c r="AH123" s="2"/>
      <c r="AI123" s="28"/>
      <c r="AJ123" s="28"/>
      <c r="AK123" s="28"/>
      <c r="AL123" s="28"/>
      <c r="AM123" s="28"/>
      <c r="AN123" s="2"/>
      <c r="AO123" s="28"/>
      <c r="AP123" s="28"/>
      <c r="AQ123" s="28"/>
      <c r="AR123" s="28"/>
      <c r="AS123" s="28"/>
      <c r="AT123" s="384"/>
      <c r="AU123" s="28"/>
      <c r="AV123" s="4"/>
    </row>
    <row r="124" spans="1:48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3"/>
      <c r="X124" s="2"/>
      <c r="Y124" s="2"/>
      <c r="Z124" s="28"/>
      <c r="AA124" s="383"/>
      <c r="AB124" s="385"/>
      <c r="AC124" s="28"/>
      <c r="AD124" s="28"/>
      <c r="AE124" s="28"/>
      <c r="AF124" s="28"/>
      <c r="AG124" s="28"/>
      <c r="AH124" s="385"/>
      <c r="AI124" s="28"/>
      <c r="AJ124" s="28"/>
      <c r="AK124" s="28"/>
      <c r="AL124" s="28"/>
      <c r="AM124" s="28"/>
      <c r="AN124" s="386"/>
      <c r="AO124" s="28"/>
      <c r="AP124" s="28"/>
      <c r="AQ124" s="28"/>
      <c r="AR124" s="28"/>
      <c r="AS124" s="28"/>
      <c r="AT124" s="4"/>
      <c r="AU124" s="5"/>
      <c r="AV124" s="5"/>
    </row>
    <row r="125" spans="1:48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3"/>
      <c r="X125" s="2"/>
      <c r="Y125" s="2"/>
      <c r="Z125" s="2"/>
      <c r="AA125" s="383"/>
      <c r="AB125" s="389"/>
      <c r="AC125" s="389"/>
      <c r="AD125" s="389"/>
      <c r="AE125" s="389"/>
      <c r="AF125" s="389"/>
      <c r="AG125" s="389"/>
      <c r="AH125" s="389"/>
      <c r="AI125" s="389"/>
      <c r="AJ125" s="389"/>
      <c r="AK125" s="389"/>
      <c r="AL125" s="389"/>
      <c r="AM125" s="389"/>
      <c r="AN125" s="390"/>
      <c r="AO125" s="390"/>
      <c r="AP125" s="390"/>
      <c r="AQ125" s="390"/>
      <c r="AR125" s="390"/>
      <c r="AS125" s="390"/>
      <c r="AT125" s="4"/>
      <c r="AU125" s="5"/>
      <c r="AV125" s="5"/>
    </row>
    <row r="126" spans="1:48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3"/>
      <c r="X126" s="2"/>
      <c r="Y126" s="2"/>
      <c r="Z126" s="382"/>
      <c r="AA126" s="383"/>
      <c r="AB126" s="391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4"/>
      <c r="AU126" s="5"/>
      <c r="AV126" s="5"/>
    </row>
    <row r="127" spans="1:48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3"/>
      <c r="X127" s="2"/>
      <c r="Y127" s="2"/>
      <c r="Z127" s="28"/>
      <c r="AA127" s="383"/>
      <c r="AB127" s="5"/>
      <c r="AC127" s="28"/>
      <c r="AD127" s="28"/>
      <c r="AE127" s="28"/>
      <c r="AF127" s="28"/>
      <c r="AG127" s="28"/>
      <c r="AH127" s="5"/>
      <c r="AI127" s="28"/>
      <c r="AJ127" s="28"/>
      <c r="AK127" s="28"/>
      <c r="AL127" s="28"/>
      <c r="AM127" s="28"/>
      <c r="AN127" s="5"/>
      <c r="AO127" s="28"/>
      <c r="AP127" s="28"/>
      <c r="AQ127" s="28"/>
      <c r="AR127" s="28"/>
      <c r="AS127" s="28"/>
      <c r="AT127" s="4"/>
      <c r="AU127" s="5"/>
      <c r="AV127" s="5"/>
    </row>
    <row r="128" spans="1:4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3"/>
      <c r="X128" s="2"/>
      <c r="Y128" s="2"/>
      <c r="Z128" s="28"/>
      <c r="AA128" s="383"/>
      <c r="AB128" s="2"/>
      <c r="AC128" s="28"/>
      <c r="AD128" s="28"/>
      <c r="AE128" s="28"/>
      <c r="AF128" s="28"/>
      <c r="AG128" s="28"/>
      <c r="AH128" s="2"/>
      <c r="AI128" s="28"/>
      <c r="AJ128" s="28"/>
      <c r="AK128" s="28"/>
      <c r="AL128" s="28"/>
      <c r="AM128" s="28"/>
      <c r="AN128" s="2"/>
      <c r="AO128" s="28"/>
      <c r="AP128" s="28"/>
      <c r="AQ128" s="28"/>
      <c r="AR128" s="28"/>
      <c r="AS128" s="28"/>
      <c r="AT128" s="4"/>
      <c r="AU128" s="5"/>
      <c r="AV128" s="5"/>
    </row>
    <row r="129" spans="1:48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3"/>
      <c r="X129" s="2"/>
      <c r="Y129" s="2"/>
      <c r="Z129" s="28"/>
      <c r="AA129" s="383"/>
      <c r="AB129" s="386"/>
      <c r="AC129" s="28"/>
      <c r="AD129" s="28"/>
      <c r="AE129" s="28"/>
      <c r="AF129" s="28"/>
      <c r="AG129" s="28"/>
      <c r="AH129" s="386"/>
      <c r="AI129" s="28"/>
      <c r="AJ129" s="28"/>
      <c r="AK129" s="28"/>
      <c r="AL129" s="28"/>
      <c r="AM129" s="28"/>
      <c r="AN129" s="386"/>
      <c r="AO129" s="28"/>
      <c r="AP129" s="28"/>
      <c r="AQ129" s="28"/>
      <c r="AR129" s="28"/>
      <c r="AS129" s="28"/>
      <c r="AT129" s="4"/>
      <c r="AU129" s="5"/>
      <c r="AV129" s="5"/>
    </row>
    <row r="130" spans="1:48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3"/>
      <c r="X130" s="2"/>
      <c r="Y130" s="2"/>
      <c r="Z130" s="28"/>
      <c r="AA130" s="383"/>
      <c r="AB130" s="5"/>
      <c r="AC130" s="28"/>
      <c r="AD130" s="28"/>
      <c r="AE130" s="5"/>
      <c r="AF130" s="28"/>
      <c r="AG130" s="28"/>
      <c r="AH130" s="5"/>
      <c r="AI130" s="28"/>
      <c r="AJ130" s="28"/>
      <c r="AK130" s="5"/>
      <c r="AL130" s="28"/>
      <c r="AM130" s="28"/>
      <c r="AN130" s="5"/>
      <c r="AO130" s="28"/>
      <c r="AP130" s="28"/>
      <c r="AQ130" s="5"/>
      <c r="AR130" s="28"/>
      <c r="AS130" s="28"/>
      <c r="AT130" s="4"/>
      <c r="AU130" s="5"/>
      <c r="AV130" s="5"/>
    </row>
    <row r="131" spans="1:48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3"/>
      <c r="X131" s="2"/>
      <c r="Y131" s="2"/>
      <c r="Z131" s="28"/>
      <c r="AA131" s="383"/>
      <c r="AB131" s="5"/>
      <c r="AC131" s="28"/>
      <c r="AD131" s="28"/>
      <c r="AE131" s="5"/>
      <c r="AF131" s="28"/>
      <c r="AG131" s="28"/>
      <c r="AH131" s="5"/>
      <c r="AI131" s="28"/>
      <c r="AJ131" s="28"/>
      <c r="AK131" s="5"/>
      <c r="AL131" s="28"/>
      <c r="AM131" s="28"/>
      <c r="AN131" s="5"/>
      <c r="AO131" s="28"/>
      <c r="AP131" s="28"/>
      <c r="AQ131" s="5"/>
      <c r="AR131" s="28"/>
      <c r="AS131" s="28"/>
      <c r="AT131" s="4"/>
      <c r="AU131" s="5"/>
      <c r="AV131" s="5"/>
    </row>
    <row r="132" spans="1:48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3"/>
      <c r="X132" s="2"/>
      <c r="Y132" s="2"/>
      <c r="Z132" s="28"/>
      <c r="AA132" s="383"/>
      <c r="AB132" s="391"/>
      <c r="AC132" s="28"/>
      <c r="AD132" s="28"/>
      <c r="AE132" s="28"/>
      <c r="AF132" s="28"/>
      <c r="AG132" s="28"/>
      <c r="AH132" s="391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4"/>
      <c r="AU132" s="5"/>
      <c r="AV132" s="5"/>
    </row>
    <row r="133" spans="1:48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3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4"/>
      <c r="AU133" s="5"/>
      <c r="AV133" s="5"/>
    </row>
    <row r="134" spans="1:48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3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4"/>
      <c r="AU134" s="5"/>
      <c r="AV134" s="5"/>
    </row>
    <row r="135" spans="1:48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3"/>
      <c r="X135" s="2"/>
      <c r="Y135" s="2"/>
      <c r="Z135" s="382"/>
      <c r="AA135" s="383"/>
      <c r="AB135" s="5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4"/>
      <c r="AU135" s="5"/>
      <c r="AV135" s="5"/>
    </row>
    <row r="136" spans="1:48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3"/>
      <c r="X136" s="2"/>
      <c r="Y136" s="2"/>
      <c r="Z136" s="28"/>
      <c r="AA136" s="383"/>
      <c r="AB136" s="5"/>
      <c r="AC136" s="28"/>
      <c r="AD136" s="28"/>
      <c r="AE136" s="28"/>
      <c r="AF136" s="28"/>
      <c r="AG136" s="28"/>
      <c r="AH136" s="5"/>
      <c r="AI136" s="28"/>
      <c r="AJ136" s="28"/>
      <c r="AK136" s="28"/>
      <c r="AL136" s="28"/>
      <c r="AM136" s="28"/>
      <c r="AN136" s="5"/>
      <c r="AO136" s="28"/>
      <c r="AP136" s="28"/>
      <c r="AQ136" s="28"/>
      <c r="AR136" s="28"/>
      <c r="AS136" s="28"/>
      <c r="AT136" s="4"/>
      <c r="AU136" s="5"/>
      <c r="AV136" s="5"/>
    </row>
    <row r="137" spans="1:48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3"/>
      <c r="X137" s="2"/>
      <c r="Y137" s="2"/>
      <c r="Z137" s="28"/>
      <c r="AA137" s="383"/>
      <c r="AB137" s="2"/>
      <c r="AC137" s="28"/>
      <c r="AD137" s="28"/>
      <c r="AE137" s="28"/>
      <c r="AF137" s="28"/>
      <c r="AG137" s="28"/>
      <c r="AH137" s="2"/>
      <c r="AI137" s="28"/>
      <c r="AJ137" s="28"/>
      <c r="AK137" s="28"/>
      <c r="AL137" s="28"/>
      <c r="AM137" s="28"/>
      <c r="AN137" s="2"/>
      <c r="AO137" s="28"/>
      <c r="AP137" s="28"/>
      <c r="AQ137" s="28"/>
      <c r="AR137" s="28"/>
      <c r="AS137" s="28"/>
      <c r="AT137" s="384"/>
      <c r="AU137" s="28"/>
      <c r="AV137" s="4"/>
    </row>
    <row r="138" spans="1:4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3"/>
      <c r="X138" s="2"/>
      <c r="Y138" s="2"/>
      <c r="Z138" s="28"/>
      <c r="AA138" s="383"/>
      <c r="AB138" s="385"/>
      <c r="AC138" s="28"/>
      <c r="AD138" s="28"/>
      <c r="AE138" s="28"/>
      <c r="AF138" s="28"/>
      <c r="AG138" s="28"/>
      <c r="AH138" s="385"/>
      <c r="AI138" s="28"/>
      <c r="AJ138" s="28"/>
      <c r="AK138" s="28"/>
      <c r="AL138" s="28"/>
      <c r="AM138" s="28"/>
      <c r="AN138" s="386"/>
      <c r="AO138" s="28"/>
      <c r="AP138" s="28"/>
      <c r="AQ138" s="28"/>
      <c r="AR138" s="28"/>
      <c r="AS138" s="28"/>
      <c r="AT138" s="4"/>
      <c r="AU138" s="5"/>
      <c r="AV138" s="5"/>
    </row>
    <row r="139" spans="1:48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3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4"/>
      <c r="AU139" s="5"/>
      <c r="AV139" s="5"/>
    </row>
    <row r="140" spans="1:48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3"/>
      <c r="X140" s="2"/>
      <c r="Y140" s="2"/>
      <c r="Z140" s="382"/>
      <c r="AA140" s="383"/>
      <c r="AB140" s="5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4"/>
      <c r="AU140" s="5"/>
      <c r="AV140" s="5"/>
    </row>
    <row r="141" spans="1:48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3"/>
      <c r="X141" s="2"/>
      <c r="Y141" s="2"/>
      <c r="Z141" s="28"/>
      <c r="AA141" s="383"/>
      <c r="AB141" s="5"/>
      <c r="AC141" s="28"/>
      <c r="AD141" s="28"/>
      <c r="AE141" s="28"/>
      <c r="AF141" s="28"/>
      <c r="AG141" s="28"/>
      <c r="AH141" s="5"/>
      <c r="AI141" s="28"/>
      <c r="AJ141" s="28"/>
      <c r="AK141" s="28"/>
      <c r="AL141" s="28"/>
      <c r="AM141" s="28"/>
      <c r="AN141" s="5"/>
      <c r="AO141" s="28"/>
      <c r="AP141" s="28"/>
      <c r="AQ141" s="28"/>
      <c r="AR141" s="28"/>
      <c r="AS141" s="28"/>
      <c r="AT141" s="4"/>
      <c r="AU141" s="5"/>
      <c r="AV141" s="5"/>
    </row>
    <row r="142" spans="1:48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3"/>
      <c r="X142" s="2"/>
      <c r="Y142" s="2"/>
      <c r="Z142" s="28"/>
      <c r="AA142" s="383"/>
      <c r="AB142" s="2"/>
      <c r="AC142" s="28"/>
      <c r="AD142" s="28"/>
      <c r="AE142" s="28"/>
      <c r="AF142" s="28"/>
      <c r="AG142" s="28"/>
      <c r="AH142" s="2"/>
      <c r="AI142" s="28"/>
      <c r="AJ142" s="28"/>
      <c r="AK142" s="28"/>
      <c r="AL142" s="28"/>
      <c r="AM142" s="28"/>
      <c r="AN142" s="2"/>
      <c r="AO142" s="28"/>
      <c r="AP142" s="28"/>
      <c r="AQ142" s="28"/>
      <c r="AR142" s="28"/>
      <c r="AS142" s="28"/>
      <c r="AT142" s="384"/>
      <c r="AU142" s="28"/>
      <c r="AV142" s="4"/>
    </row>
    <row r="143" spans="1:48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3"/>
      <c r="X143" s="2"/>
      <c r="Y143" s="2"/>
      <c r="Z143" s="28"/>
      <c r="AA143" s="383"/>
      <c r="AB143" s="385"/>
      <c r="AC143" s="28"/>
      <c r="AD143" s="28"/>
      <c r="AE143" s="28"/>
      <c r="AF143" s="28"/>
      <c r="AG143" s="28"/>
      <c r="AH143" s="385"/>
      <c r="AI143" s="28"/>
      <c r="AJ143" s="28"/>
      <c r="AK143" s="28"/>
      <c r="AL143" s="28"/>
      <c r="AM143" s="28"/>
      <c r="AN143" s="386"/>
      <c r="AO143" s="28"/>
      <c r="AP143" s="28"/>
      <c r="AQ143" s="28"/>
      <c r="AR143" s="28"/>
      <c r="AS143" s="28"/>
      <c r="AT143" s="4"/>
      <c r="AU143" s="5"/>
      <c r="AV143" s="5"/>
    </row>
    <row r="144" spans="1:48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3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4"/>
      <c r="AU144" s="5"/>
      <c r="AV144" s="5"/>
    </row>
    <row r="145" spans="1:48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3"/>
      <c r="X145" s="2"/>
      <c r="Y145" s="2"/>
      <c r="Z145" s="382"/>
      <c r="AA145" s="383"/>
      <c r="AB145" s="5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4"/>
      <c r="AU145" s="5"/>
      <c r="AV145" s="5"/>
    </row>
    <row r="146" spans="1:48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3"/>
      <c r="X146" s="2"/>
      <c r="Y146" s="2"/>
      <c r="Z146" s="28"/>
      <c r="AA146" s="383"/>
      <c r="AB146" s="5"/>
      <c r="AC146" s="28"/>
      <c r="AD146" s="28"/>
      <c r="AE146" s="28"/>
      <c r="AF146" s="28"/>
      <c r="AG146" s="28"/>
      <c r="AH146" s="5"/>
      <c r="AI146" s="28"/>
      <c r="AJ146" s="28"/>
      <c r="AK146" s="28"/>
      <c r="AL146" s="28"/>
      <c r="AM146" s="28"/>
      <c r="AN146" s="5"/>
      <c r="AO146" s="28"/>
      <c r="AP146" s="28"/>
      <c r="AQ146" s="28"/>
      <c r="AR146" s="28"/>
      <c r="AS146" s="28"/>
      <c r="AT146" s="4"/>
      <c r="AU146" s="5"/>
      <c r="AV146" s="5"/>
    </row>
    <row r="147" spans="1:48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3"/>
      <c r="X147" s="2"/>
      <c r="Y147" s="2"/>
      <c r="Z147" s="28"/>
      <c r="AA147" s="383"/>
      <c r="AB147" s="2"/>
      <c r="AC147" s="28"/>
      <c r="AD147" s="28"/>
      <c r="AE147" s="28"/>
      <c r="AF147" s="28"/>
      <c r="AG147" s="28"/>
      <c r="AH147" s="2"/>
      <c r="AI147" s="28"/>
      <c r="AJ147" s="28"/>
      <c r="AK147" s="28"/>
      <c r="AL147" s="28"/>
      <c r="AM147" s="28"/>
      <c r="AN147" s="2"/>
      <c r="AO147" s="28"/>
      <c r="AP147" s="28"/>
      <c r="AQ147" s="28"/>
      <c r="AR147" s="28"/>
      <c r="AS147" s="28"/>
      <c r="AT147" s="384"/>
      <c r="AU147" s="28"/>
      <c r="AV147" s="4"/>
    </row>
    <row r="148" spans="1: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3"/>
      <c r="X148" s="2"/>
      <c r="Y148" s="2"/>
      <c r="Z148" s="28"/>
      <c r="AA148" s="383"/>
      <c r="AB148" s="385"/>
      <c r="AC148" s="28"/>
      <c r="AD148" s="28"/>
      <c r="AE148" s="28"/>
      <c r="AF148" s="28"/>
      <c r="AG148" s="28"/>
      <c r="AH148" s="385"/>
      <c r="AI148" s="28"/>
      <c r="AJ148" s="28"/>
      <c r="AK148" s="28"/>
      <c r="AL148" s="28"/>
      <c r="AM148" s="28"/>
      <c r="AN148" s="386"/>
      <c r="AO148" s="28"/>
      <c r="AP148" s="28"/>
      <c r="AQ148" s="28"/>
      <c r="AR148" s="28"/>
      <c r="AS148" s="28"/>
      <c r="AT148" s="4"/>
      <c r="AU148" s="5"/>
      <c r="AV148" s="5"/>
    </row>
    <row r="149" spans="1:48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3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4"/>
      <c r="AU149" s="5"/>
      <c r="AV149" s="5"/>
    </row>
    <row r="150" spans="1:48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3"/>
      <c r="X150" s="2"/>
      <c r="Y150" s="2"/>
      <c r="Z150" s="382"/>
      <c r="AA150" s="383"/>
      <c r="AB150" s="5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4"/>
      <c r="AU150" s="5"/>
      <c r="AV150" s="5"/>
    </row>
    <row r="151" spans="1:48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3"/>
      <c r="X151" s="2"/>
      <c r="Y151" s="2"/>
      <c r="Z151" s="28"/>
      <c r="AA151" s="383"/>
      <c r="AB151" s="5"/>
      <c r="AC151" s="28"/>
      <c r="AD151" s="28"/>
      <c r="AE151" s="28"/>
      <c r="AF151" s="28"/>
      <c r="AG151" s="28"/>
      <c r="AH151" s="5"/>
      <c r="AI151" s="28"/>
      <c r="AJ151" s="28"/>
      <c r="AK151" s="28"/>
      <c r="AL151" s="28"/>
      <c r="AM151" s="28"/>
      <c r="AN151" s="5"/>
      <c r="AO151" s="28"/>
      <c r="AP151" s="28"/>
      <c r="AQ151" s="28"/>
      <c r="AR151" s="28"/>
      <c r="AS151" s="28"/>
      <c r="AT151" s="4"/>
      <c r="AU151" s="5"/>
      <c r="AV151" s="5"/>
    </row>
    <row r="152" spans="1:48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3"/>
      <c r="X152" s="2"/>
      <c r="Y152" s="2"/>
      <c r="Z152" s="28"/>
      <c r="AA152" s="383"/>
      <c r="AB152" s="2"/>
      <c r="AC152" s="28"/>
      <c r="AD152" s="28"/>
      <c r="AE152" s="28"/>
      <c r="AF152" s="28"/>
      <c r="AG152" s="28"/>
      <c r="AH152" s="2"/>
      <c r="AI152" s="28"/>
      <c r="AJ152" s="28"/>
      <c r="AK152" s="28"/>
      <c r="AL152" s="28"/>
      <c r="AM152" s="28"/>
      <c r="AN152" s="2"/>
      <c r="AO152" s="28"/>
      <c r="AP152" s="28"/>
      <c r="AQ152" s="28"/>
      <c r="AR152" s="28"/>
      <c r="AS152" s="28"/>
      <c r="AT152" s="384"/>
      <c r="AU152" s="28"/>
      <c r="AV152" s="4"/>
    </row>
    <row r="153" spans="1:48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3"/>
      <c r="X153" s="2"/>
      <c r="Y153" s="2"/>
      <c r="Z153" s="28"/>
      <c r="AA153" s="383"/>
      <c r="AB153" s="385"/>
      <c r="AC153" s="28"/>
      <c r="AD153" s="28"/>
      <c r="AE153" s="28"/>
      <c r="AF153" s="28"/>
      <c r="AG153" s="28"/>
      <c r="AH153" s="385"/>
      <c r="AI153" s="28"/>
      <c r="AJ153" s="28"/>
      <c r="AK153" s="28"/>
      <c r="AL153" s="28"/>
      <c r="AM153" s="28"/>
      <c r="AN153" s="386"/>
      <c r="AO153" s="28"/>
      <c r="AP153" s="28"/>
      <c r="AQ153" s="28"/>
      <c r="AR153" s="28"/>
      <c r="AS153" s="28"/>
      <c r="AT153" s="4"/>
      <c r="AU153" s="5"/>
      <c r="AV153" s="5"/>
    </row>
    <row r="154" spans="1:48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3"/>
      <c r="X154" s="2"/>
      <c r="Y154" s="2"/>
      <c r="Z154" s="2"/>
      <c r="AA154" s="383"/>
      <c r="AB154" s="389"/>
      <c r="AC154" s="389"/>
      <c r="AD154" s="389"/>
      <c r="AE154" s="389"/>
      <c r="AF154" s="389"/>
      <c r="AG154" s="389"/>
      <c r="AH154" s="389"/>
      <c r="AI154" s="389"/>
      <c r="AJ154" s="389"/>
      <c r="AK154" s="389"/>
      <c r="AL154" s="389"/>
      <c r="AM154" s="389"/>
      <c r="AN154" s="390"/>
      <c r="AO154" s="390"/>
      <c r="AP154" s="390"/>
      <c r="AQ154" s="390"/>
      <c r="AR154" s="390"/>
      <c r="AS154" s="390"/>
      <c r="AT154" s="4"/>
      <c r="AU154" s="5"/>
      <c r="AV154" s="5"/>
    </row>
    <row r="155" spans="1:48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3"/>
      <c r="X155" s="2"/>
      <c r="Y155" s="2"/>
      <c r="Z155" s="382"/>
      <c r="AA155" s="383"/>
      <c r="AB155" s="391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4"/>
      <c r="AU155" s="5"/>
      <c r="AV155" s="5"/>
    </row>
    <row r="156" spans="1:48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3"/>
      <c r="X156" s="2"/>
      <c r="Y156" s="2"/>
      <c r="Z156" s="28"/>
      <c r="AA156" s="383"/>
      <c r="AB156" s="5"/>
      <c r="AC156" s="28"/>
      <c r="AD156" s="28"/>
      <c r="AE156" s="28"/>
      <c r="AF156" s="28"/>
      <c r="AG156" s="28"/>
      <c r="AH156" s="5"/>
      <c r="AI156" s="28"/>
      <c r="AJ156" s="28"/>
      <c r="AK156" s="28"/>
      <c r="AL156" s="28"/>
      <c r="AM156" s="28"/>
      <c r="AN156" s="5"/>
      <c r="AO156" s="28"/>
      <c r="AP156" s="28"/>
      <c r="AQ156" s="28"/>
      <c r="AR156" s="28"/>
      <c r="AS156" s="28"/>
      <c r="AT156" s="4"/>
      <c r="AU156" s="5"/>
      <c r="AV156" s="5"/>
    </row>
    <row r="157" spans="1:48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3"/>
      <c r="X157" s="2"/>
      <c r="Y157" s="2"/>
      <c r="Z157" s="28"/>
      <c r="AA157" s="383"/>
      <c r="AB157" s="2"/>
      <c r="AC157" s="28"/>
      <c r="AD157" s="28"/>
      <c r="AE157" s="28"/>
      <c r="AF157" s="28"/>
      <c r="AG157" s="28"/>
      <c r="AH157" s="2"/>
      <c r="AI157" s="28"/>
      <c r="AJ157" s="28"/>
      <c r="AK157" s="28"/>
      <c r="AL157" s="28"/>
      <c r="AM157" s="28"/>
      <c r="AN157" s="2"/>
      <c r="AO157" s="28"/>
      <c r="AP157" s="28"/>
      <c r="AQ157" s="28"/>
      <c r="AR157" s="28"/>
      <c r="AS157" s="28"/>
      <c r="AT157" s="384"/>
      <c r="AU157" s="28"/>
      <c r="AV157" s="4"/>
    </row>
    <row r="158" spans="1:4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3"/>
      <c r="X158" s="2"/>
      <c r="Y158" s="2"/>
      <c r="Z158" s="28"/>
      <c r="AA158" s="383"/>
      <c r="AB158" s="386"/>
      <c r="AC158" s="28"/>
      <c r="AD158" s="28"/>
      <c r="AE158" s="28"/>
      <c r="AF158" s="28"/>
      <c r="AG158" s="28"/>
      <c r="AH158" s="386"/>
      <c r="AI158" s="28"/>
      <c r="AJ158" s="28"/>
      <c r="AK158" s="28"/>
      <c r="AL158" s="28"/>
      <c r="AM158" s="28"/>
      <c r="AN158" s="386"/>
      <c r="AO158" s="28"/>
      <c r="AP158" s="28"/>
      <c r="AQ158" s="28"/>
      <c r="AR158" s="28"/>
      <c r="AS158" s="28"/>
      <c r="AT158" s="4"/>
      <c r="AU158" s="5"/>
      <c r="AV158" s="5"/>
    </row>
    <row r="159" spans="1:48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3"/>
      <c r="X159" s="2"/>
      <c r="Y159" s="2"/>
      <c r="Z159" s="28"/>
      <c r="AA159" s="383"/>
      <c r="AB159" s="5"/>
      <c r="AC159" s="28"/>
      <c r="AD159" s="28"/>
      <c r="AE159" s="5"/>
      <c r="AF159" s="28"/>
      <c r="AG159" s="28"/>
      <c r="AH159" s="5"/>
      <c r="AI159" s="28"/>
      <c r="AJ159" s="28"/>
      <c r="AK159" s="5"/>
      <c r="AL159" s="28"/>
      <c r="AM159" s="28"/>
      <c r="AN159" s="5"/>
      <c r="AO159" s="28"/>
      <c r="AP159" s="28"/>
      <c r="AQ159" s="5"/>
      <c r="AR159" s="28"/>
      <c r="AS159" s="28"/>
      <c r="AT159" s="4"/>
      <c r="AU159" s="5"/>
      <c r="AV159" s="5"/>
    </row>
    <row r="160" spans="1:48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3"/>
      <c r="X160" s="2"/>
      <c r="Y160" s="2"/>
      <c r="Z160" s="28"/>
      <c r="AA160" s="383"/>
      <c r="AB160" s="2"/>
      <c r="AC160" s="28"/>
      <c r="AD160" s="28"/>
      <c r="AE160" s="2"/>
      <c r="AF160" s="28"/>
      <c r="AG160" s="28"/>
      <c r="AH160" s="2"/>
      <c r="AI160" s="28"/>
      <c r="AJ160" s="28"/>
      <c r="AK160" s="2"/>
      <c r="AL160" s="28"/>
      <c r="AM160" s="28"/>
      <c r="AN160" s="2"/>
      <c r="AO160" s="28"/>
      <c r="AP160" s="28"/>
      <c r="AQ160" s="2"/>
      <c r="AR160" s="28"/>
      <c r="AS160" s="28"/>
      <c r="AT160" s="384"/>
      <c r="AU160" s="28"/>
      <c r="AV160" s="4"/>
    </row>
    <row r="161" spans="1:48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3"/>
      <c r="X161" s="2"/>
      <c r="Y161" s="2"/>
      <c r="Z161" s="28"/>
      <c r="AA161" s="383"/>
      <c r="AB161" s="386"/>
      <c r="AC161" s="28"/>
      <c r="AD161" s="28"/>
      <c r="AE161" s="28"/>
      <c r="AF161" s="28"/>
      <c r="AG161" s="28"/>
      <c r="AH161" s="386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4"/>
      <c r="AU161" s="5"/>
      <c r="AV161" s="5"/>
    </row>
    <row r="162" spans="1:48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3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4"/>
      <c r="AU162" s="5"/>
      <c r="AV162" s="5"/>
    </row>
    <row r="163" spans="1:48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3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4"/>
      <c r="AU163" s="5"/>
      <c r="AV163" s="5"/>
    </row>
    <row r="164" spans="1:48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3"/>
      <c r="X164" s="2"/>
      <c r="Y164" s="2"/>
      <c r="Z164" s="382"/>
      <c r="AA164" s="383"/>
      <c r="AB164" s="391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4"/>
      <c r="AU164" s="5"/>
      <c r="AV164" s="5"/>
    </row>
    <row r="165" spans="1:48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3"/>
      <c r="X165" s="2"/>
      <c r="Y165" s="2"/>
      <c r="Z165" s="28"/>
      <c r="AA165" s="383"/>
      <c r="AB165" s="5"/>
      <c r="AC165" s="28"/>
      <c r="AD165" s="28"/>
      <c r="AE165" s="28"/>
      <c r="AF165" s="28"/>
      <c r="AG165" s="28"/>
      <c r="AH165" s="5"/>
      <c r="AI165" s="28"/>
      <c r="AJ165" s="28"/>
      <c r="AK165" s="28"/>
      <c r="AL165" s="28"/>
      <c r="AM165" s="28"/>
      <c r="AN165" s="5"/>
      <c r="AO165" s="28"/>
      <c r="AP165" s="28"/>
      <c r="AQ165" s="28"/>
      <c r="AR165" s="28"/>
      <c r="AS165" s="28"/>
      <c r="AT165" s="4"/>
      <c r="AU165" s="5"/>
      <c r="AV165" s="5"/>
    </row>
    <row r="166" spans="1:48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3"/>
      <c r="X166" s="2"/>
      <c r="Y166" s="2"/>
      <c r="Z166" s="28"/>
      <c r="AA166" s="383"/>
      <c r="AB166" s="2"/>
      <c r="AC166" s="28"/>
      <c r="AD166" s="28"/>
      <c r="AE166" s="28"/>
      <c r="AF166" s="28"/>
      <c r="AG166" s="28"/>
      <c r="AH166" s="2"/>
      <c r="AI166" s="28"/>
      <c r="AJ166" s="28"/>
      <c r="AK166" s="28"/>
      <c r="AL166" s="28"/>
      <c r="AM166" s="28"/>
      <c r="AN166" s="2"/>
      <c r="AO166" s="28"/>
      <c r="AP166" s="28"/>
      <c r="AQ166" s="28"/>
      <c r="AR166" s="28"/>
      <c r="AS166" s="28"/>
      <c r="AT166" s="4"/>
      <c r="AU166" s="5"/>
      <c r="AV166" s="5"/>
    </row>
    <row r="167" spans="1:48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3"/>
      <c r="X167" s="2"/>
      <c r="Y167" s="2"/>
      <c r="Z167" s="28"/>
      <c r="AA167" s="383"/>
      <c r="AB167" s="386"/>
      <c r="AC167" s="28"/>
      <c r="AD167" s="28"/>
      <c r="AE167" s="28"/>
      <c r="AF167" s="28"/>
      <c r="AG167" s="28"/>
      <c r="AH167" s="386"/>
      <c r="AI167" s="28"/>
      <c r="AJ167" s="28"/>
      <c r="AK167" s="28"/>
      <c r="AL167" s="28"/>
      <c r="AM167" s="28"/>
      <c r="AN167" s="386"/>
      <c r="AO167" s="28"/>
      <c r="AP167" s="28"/>
      <c r="AQ167" s="28"/>
      <c r="AR167" s="28"/>
      <c r="AS167" s="28"/>
      <c r="AT167" s="4"/>
      <c r="AU167" s="5"/>
      <c r="AV167" s="5"/>
    </row>
    <row r="168" spans="1:4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3"/>
      <c r="X168" s="2"/>
      <c r="Y168" s="2"/>
      <c r="Z168" s="28"/>
      <c r="AA168" s="383"/>
      <c r="AB168" s="5"/>
      <c r="AC168" s="28"/>
      <c r="AD168" s="28"/>
      <c r="AE168" s="5"/>
      <c r="AF168" s="28"/>
      <c r="AG168" s="28"/>
      <c r="AH168" s="5"/>
      <c r="AI168" s="28"/>
      <c r="AJ168" s="28"/>
      <c r="AK168" s="5"/>
      <c r="AL168" s="28"/>
      <c r="AM168" s="28"/>
      <c r="AN168" s="5"/>
      <c r="AO168" s="28"/>
      <c r="AP168" s="28"/>
      <c r="AQ168" s="5"/>
      <c r="AR168" s="28"/>
      <c r="AS168" s="28"/>
      <c r="AT168" s="4"/>
      <c r="AU168" s="5"/>
      <c r="AV168" s="5"/>
    </row>
    <row r="169" spans="1:48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3"/>
      <c r="X169" s="2"/>
      <c r="Y169" s="2"/>
      <c r="Z169" s="28"/>
      <c r="AA169" s="383"/>
      <c r="AB169" s="2"/>
      <c r="AC169" s="28"/>
      <c r="AD169" s="28"/>
      <c r="AE169" s="2"/>
      <c r="AF169" s="28"/>
      <c r="AG169" s="28"/>
      <c r="AH169" s="2"/>
      <c r="AI169" s="28"/>
      <c r="AJ169" s="28"/>
      <c r="AK169" s="2"/>
      <c r="AL169" s="28"/>
      <c r="AM169" s="28"/>
      <c r="AN169" s="2"/>
      <c r="AO169" s="28"/>
      <c r="AP169" s="28"/>
      <c r="AQ169" s="2"/>
      <c r="AR169" s="28"/>
      <c r="AS169" s="28"/>
      <c r="AT169" s="4"/>
      <c r="AU169" s="5"/>
      <c r="AV169" s="5"/>
    </row>
    <row r="170" spans="1:48" ht="28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3"/>
      <c r="X170" s="2"/>
      <c r="Y170" s="2"/>
      <c r="Z170" s="28"/>
      <c r="AA170" s="383"/>
      <c r="AB170" s="386"/>
      <c r="AC170" s="28"/>
      <c r="AD170" s="28"/>
      <c r="AE170" s="28"/>
      <c r="AF170" s="28"/>
      <c r="AG170" s="28"/>
      <c r="AH170" s="386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4"/>
      <c r="AU170" s="5"/>
      <c r="AV170" s="5"/>
    </row>
    <row r="171" spans="1:48" ht="20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3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4"/>
      <c r="AU171" s="5"/>
      <c r="AV171" s="5"/>
    </row>
    <row r="172" spans="1:48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3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4"/>
      <c r="AU172" s="5"/>
      <c r="AV172" s="5"/>
    </row>
    <row r="173" spans="1:48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3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4"/>
      <c r="AU173" s="5"/>
      <c r="AV173" s="5"/>
    </row>
    <row r="174" spans="1:48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3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4"/>
      <c r="AU174" s="5"/>
      <c r="AV174" s="5"/>
    </row>
    <row r="175" spans="1:48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3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4"/>
      <c r="AU175" s="5"/>
      <c r="AV175" s="5"/>
    </row>
    <row r="176" spans="1:48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3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4"/>
      <c r="AU176" s="5"/>
      <c r="AV176" s="5"/>
    </row>
    <row r="177" spans="1:48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3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4"/>
      <c r="AU177" s="5"/>
      <c r="AV177" s="5"/>
    </row>
    <row r="178" spans="1:4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3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4"/>
      <c r="AU178" s="5"/>
      <c r="AV178" s="5"/>
    </row>
    <row r="179" spans="1:48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3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4"/>
      <c r="AU179" s="5"/>
      <c r="AV179" s="5"/>
    </row>
    <row r="180" spans="1:48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3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4"/>
      <c r="AU180" s="5"/>
      <c r="AV180" s="5"/>
    </row>
    <row r="181" spans="1:48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3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4"/>
      <c r="AU181" s="5"/>
      <c r="AV181" s="5"/>
    </row>
    <row r="182" spans="1:48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3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4"/>
      <c r="AU182" s="5"/>
      <c r="AV182" s="5"/>
    </row>
    <row r="183" spans="1:48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3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4"/>
      <c r="AU183" s="5"/>
      <c r="AV183" s="5"/>
    </row>
    <row r="184" spans="1:48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3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4"/>
      <c r="AU184" s="5"/>
      <c r="AV184" s="5"/>
    </row>
    <row r="185" spans="1:48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3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4"/>
      <c r="AU185" s="5"/>
      <c r="AV185" s="5"/>
    </row>
    <row r="186" spans="1:48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3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4"/>
      <c r="AU186" s="5"/>
      <c r="AV186" s="5"/>
    </row>
    <row r="187" spans="1:48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3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4"/>
      <c r="AU187" s="5"/>
      <c r="AV187" s="5"/>
    </row>
    <row r="188" spans="1:4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3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4"/>
      <c r="AU188" s="5"/>
      <c r="AV188" s="5"/>
    </row>
    <row r="189" spans="1:48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3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4"/>
      <c r="AU189" s="5"/>
      <c r="AV189" s="5"/>
    </row>
    <row r="190" spans="1:48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3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4"/>
      <c r="AU190" s="5"/>
      <c r="AV190" s="5"/>
    </row>
    <row r="191" spans="1:48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3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4"/>
      <c r="AU191" s="5"/>
      <c r="AV191" s="5"/>
    </row>
    <row r="192" spans="1:48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3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4"/>
      <c r="AU192" s="5"/>
      <c r="AV192" s="5"/>
    </row>
    <row r="193" spans="1:48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3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4"/>
      <c r="AU193" s="5"/>
      <c r="AV193" s="5"/>
    </row>
    <row r="194" spans="1:48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3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4"/>
      <c r="AU194" s="5"/>
      <c r="AV194" s="5"/>
    </row>
    <row r="195" spans="1:48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3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4"/>
      <c r="AU195" s="5"/>
      <c r="AV195" s="5"/>
    </row>
    <row r="196" spans="1:48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3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4"/>
      <c r="AU196" s="5"/>
      <c r="AV196" s="5"/>
    </row>
    <row r="197" spans="1:48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3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4"/>
      <c r="AU197" s="5"/>
      <c r="AV197" s="5"/>
    </row>
    <row r="198" spans="1:4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3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4"/>
      <c r="AU198" s="5"/>
      <c r="AV198" s="5"/>
    </row>
    <row r="199" spans="1:48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3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4"/>
      <c r="AU199" s="5"/>
      <c r="AV199" s="5"/>
    </row>
    <row r="200" spans="1:48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3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4"/>
      <c r="AU200" s="5"/>
      <c r="AV200" s="5"/>
    </row>
    <row r="201" spans="1:48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3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4"/>
      <c r="AU201" s="5"/>
      <c r="AV201" s="5"/>
    </row>
    <row r="202" spans="1:48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3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4"/>
      <c r="AU202" s="5"/>
      <c r="AV202" s="5"/>
    </row>
    <row r="203" spans="1:48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3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4"/>
      <c r="AU203" s="5"/>
      <c r="AV203" s="5"/>
    </row>
    <row r="204" spans="1:48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3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4"/>
      <c r="AU204" s="5"/>
      <c r="AV204" s="5"/>
    </row>
    <row r="205" spans="1:48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3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4"/>
      <c r="AU205" s="5"/>
      <c r="AV205" s="5"/>
    </row>
    <row r="206" spans="1:48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3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4"/>
      <c r="AU206" s="5"/>
      <c r="AV206" s="5"/>
    </row>
    <row r="207" spans="1:48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3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4"/>
      <c r="AU207" s="5"/>
      <c r="AV207" s="5"/>
    </row>
    <row r="208" spans="1:4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3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4"/>
      <c r="AU208" s="5"/>
      <c r="AV208" s="5"/>
    </row>
    <row r="209" spans="1:48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3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4"/>
      <c r="AU209" s="5"/>
      <c r="AV209" s="5"/>
    </row>
    <row r="210" spans="1:48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3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4"/>
      <c r="AU210" s="5"/>
      <c r="AV210" s="5"/>
    </row>
    <row r="211" spans="1:48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3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4"/>
      <c r="AU211" s="5"/>
      <c r="AV211" s="5"/>
    </row>
    <row r="212" spans="1:48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3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4"/>
      <c r="AU212" s="5"/>
      <c r="AV212" s="5"/>
    </row>
    <row r="213" spans="1:48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3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4"/>
      <c r="AU213" s="5"/>
      <c r="AV213" s="5"/>
    </row>
    <row r="214" spans="1:48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3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4"/>
      <c r="AU214" s="5"/>
      <c r="AV214" s="5"/>
    </row>
    <row r="215" spans="1:48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3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4"/>
      <c r="AU215" s="5"/>
      <c r="AV215" s="5"/>
    </row>
    <row r="216" spans="1:48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3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4"/>
      <c r="AU216" s="5"/>
      <c r="AV216" s="5"/>
    </row>
    <row r="217" spans="1:48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3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4"/>
      <c r="AU217" s="5"/>
      <c r="AV217" s="5"/>
    </row>
    <row r="218" spans="1:4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3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4"/>
      <c r="AU218" s="5"/>
      <c r="AV218" s="5"/>
    </row>
    <row r="219" spans="1:48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3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4"/>
      <c r="AU219" s="5"/>
      <c r="AV219" s="5"/>
    </row>
    <row r="220" spans="1:48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3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4"/>
      <c r="AU220" s="5"/>
      <c r="AV220" s="5"/>
    </row>
    <row r="221" spans="1:48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3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4"/>
      <c r="AU221" s="5"/>
      <c r="AV221" s="5"/>
    </row>
    <row r="222" spans="1:48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3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4"/>
      <c r="AU222" s="5"/>
      <c r="AV222" s="5"/>
    </row>
    <row r="223" spans="1:48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3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4"/>
      <c r="AU223" s="5"/>
      <c r="AV223" s="5"/>
    </row>
    <row r="224" spans="1:48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3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4"/>
      <c r="AU224" s="5"/>
      <c r="AV224" s="5"/>
    </row>
    <row r="225" spans="1:48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3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4"/>
      <c r="AU225" s="5"/>
      <c r="AV225" s="5"/>
    </row>
    <row r="226" spans="1:48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3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4"/>
      <c r="AU226" s="5"/>
      <c r="AV226" s="5"/>
    </row>
    <row r="227" spans="1:48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3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4"/>
      <c r="AU227" s="5"/>
      <c r="AV227" s="5"/>
    </row>
    <row r="228" spans="1:4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3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4"/>
      <c r="AU228" s="5"/>
      <c r="AV228" s="5"/>
    </row>
    <row r="229" spans="1:48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3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4"/>
      <c r="AU229" s="5"/>
      <c r="AV229" s="5"/>
    </row>
    <row r="230" spans="1:48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3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4"/>
      <c r="AU230" s="5"/>
      <c r="AV230" s="5"/>
    </row>
    <row r="231" spans="1:48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3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4"/>
      <c r="AU231" s="5"/>
      <c r="AV231" s="5"/>
    </row>
    <row r="232" spans="1:48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3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4"/>
      <c r="AU232" s="5"/>
      <c r="AV232" s="5"/>
    </row>
    <row r="233" spans="1:48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3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4"/>
      <c r="AU233" s="5"/>
      <c r="AV233" s="5"/>
    </row>
    <row r="234" spans="1:48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3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4"/>
      <c r="AU234" s="5"/>
      <c r="AV234" s="5"/>
    </row>
    <row r="235" spans="1:48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3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4"/>
      <c r="AU235" s="5"/>
      <c r="AV235" s="5"/>
    </row>
    <row r="236" spans="1:48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3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4"/>
      <c r="AU236" s="5"/>
      <c r="AV236" s="5"/>
    </row>
    <row r="237" spans="1:48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3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4"/>
      <c r="AU237" s="5"/>
      <c r="AV237" s="5"/>
    </row>
    <row r="238" spans="1:4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3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4"/>
      <c r="AU238" s="5"/>
      <c r="AV238" s="5"/>
    </row>
    <row r="239" spans="1:48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3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4"/>
      <c r="AU239" s="5"/>
      <c r="AV239" s="5"/>
    </row>
    <row r="240" spans="1:48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3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4"/>
      <c r="AU240" s="5"/>
      <c r="AV240" s="5"/>
    </row>
    <row r="241" spans="1:48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3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4"/>
      <c r="AU241" s="5"/>
      <c r="AV241" s="5"/>
    </row>
    <row r="242" spans="1:48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3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4"/>
      <c r="AU242" s="5"/>
      <c r="AV242" s="5"/>
    </row>
    <row r="243" spans="1:48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3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4"/>
      <c r="AU243" s="5"/>
      <c r="AV243" s="5"/>
    </row>
    <row r="244" spans="1:48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3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4"/>
      <c r="AU244" s="5"/>
      <c r="AV244" s="5"/>
    </row>
    <row r="245" spans="1:48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3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4"/>
      <c r="AU245" s="5"/>
      <c r="AV245" s="5"/>
    </row>
    <row r="246" spans="1:48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3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4"/>
      <c r="AU246" s="5"/>
      <c r="AV246" s="5"/>
    </row>
    <row r="247" spans="1:48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3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4"/>
      <c r="AU247" s="5"/>
      <c r="AV247" s="5"/>
    </row>
    <row r="248" spans="1: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3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4"/>
      <c r="AU248" s="5"/>
      <c r="AV248" s="5"/>
    </row>
    <row r="249" spans="1:48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3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4"/>
      <c r="AU249" s="5"/>
      <c r="AV249" s="5"/>
    </row>
    <row r="250" spans="1:48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3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4"/>
      <c r="AU250" s="5"/>
      <c r="AV250" s="5"/>
    </row>
    <row r="251" spans="1:48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3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4"/>
      <c r="AU251" s="5"/>
      <c r="AV251" s="5"/>
    </row>
    <row r="252" spans="1:48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3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4"/>
      <c r="AU252" s="5"/>
      <c r="AV252" s="5"/>
    </row>
    <row r="253" spans="1:48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3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4"/>
      <c r="AU253" s="5"/>
      <c r="AV253" s="5"/>
    </row>
    <row r="254" spans="1:48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3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4"/>
      <c r="AU254" s="5"/>
      <c r="AV254" s="5"/>
    </row>
    <row r="255" spans="1:48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3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4"/>
      <c r="AU255" s="5"/>
      <c r="AV255" s="5"/>
    </row>
    <row r="256" spans="1:48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3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4"/>
      <c r="AU256" s="5"/>
      <c r="AV256" s="5"/>
    </row>
    <row r="257" spans="1:48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3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4"/>
      <c r="AU257" s="5"/>
      <c r="AV257" s="5"/>
    </row>
    <row r="258" spans="1:4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3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4"/>
      <c r="AU258" s="5"/>
      <c r="AV258" s="5"/>
    </row>
    <row r="259" spans="1:48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3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4"/>
      <c r="AU259" s="5"/>
      <c r="AV259" s="5"/>
    </row>
    <row r="260" spans="1:48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3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4"/>
      <c r="AU260" s="5"/>
      <c r="AV260" s="5"/>
    </row>
    <row r="261" spans="1:48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3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4"/>
      <c r="AU261" s="5"/>
      <c r="AV261" s="5"/>
    </row>
    <row r="262" spans="1:48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3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4"/>
      <c r="AU262" s="5"/>
      <c r="AV262" s="5"/>
    </row>
    <row r="263" spans="1:48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3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4"/>
      <c r="AU263" s="5"/>
      <c r="AV263" s="5"/>
    </row>
    <row r="264" spans="1:48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3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4"/>
      <c r="AU264" s="5"/>
      <c r="AV264" s="5"/>
    </row>
    <row r="265" spans="1:48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3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4"/>
      <c r="AU265" s="5"/>
      <c r="AV265" s="5"/>
    </row>
    <row r="266" spans="1:48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3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4"/>
      <c r="AU266" s="5"/>
      <c r="AV266" s="5"/>
    </row>
    <row r="267" spans="1:48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3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4"/>
      <c r="AU267" s="5"/>
      <c r="AV267" s="5"/>
    </row>
    <row r="268" spans="1:4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3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4"/>
      <c r="AU268" s="5"/>
      <c r="AV268" s="5"/>
    </row>
    <row r="269" spans="1:48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3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4"/>
      <c r="AU269" s="5"/>
      <c r="AV269" s="5"/>
    </row>
    <row r="270" spans="1:48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3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4"/>
      <c r="AU270" s="5"/>
      <c r="AV270" s="5"/>
    </row>
    <row r="271" spans="1:48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3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4"/>
      <c r="AU271" s="5"/>
      <c r="AV271" s="5"/>
    </row>
    <row r="272" spans="1:48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3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4"/>
      <c r="AU272" s="5"/>
      <c r="AV272" s="5"/>
    </row>
    <row r="273" spans="1:48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3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4"/>
      <c r="AU273" s="5"/>
      <c r="AV273" s="5"/>
    </row>
    <row r="274" spans="1:48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3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4"/>
      <c r="AU274" s="5"/>
      <c r="AV274" s="5"/>
    </row>
    <row r="275" spans="1:48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3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4"/>
      <c r="AU275" s="5"/>
      <c r="AV275" s="5"/>
    </row>
    <row r="276" spans="1:48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3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4"/>
      <c r="AU276" s="5"/>
      <c r="AV276" s="5"/>
    </row>
    <row r="277" spans="1:48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3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4"/>
      <c r="AU277" s="5"/>
      <c r="AV277" s="5"/>
    </row>
    <row r="278" spans="1:4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3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4"/>
      <c r="AU278" s="5"/>
      <c r="AV278" s="5"/>
    </row>
    <row r="279" spans="1:48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3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4"/>
      <c r="AU279" s="5"/>
      <c r="AV279" s="5"/>
    </row>
    <row r="280" spans="1:48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3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4"/>
      <c r="AU280" s="5"/>
      <c r="AV280" s="5"/>
    </row>
    <row r="281" spans="1:48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3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4"/>
      <c r="AU281" s="5"/>
      <c r="AV281" s="5"/>
    </row>
    <row r="282" spans="1:48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3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4"/>
      <c r="AU282" s="5"/>
      <c r="AV282" s="5"/>
    </row>
    <row r="283" spans="1:48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3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4"/>
      <c r="AU283" s="5"/>
      <c r="AV283" s="5"/>
    </row>
    <row r="284" spans="1:48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3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4"/>
      <c r="AU284" s="5"/>
      <c r="AV284" s="5"/>
    </row>
    <row r="285" spans="1:48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3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4"/>
      <c r="AU285" s="5"/>
      <c r="AV285" s="5"/>
    </row>
    <row r="286" spans="1:48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3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4"/>
      <c r="AU286" s="5"/>
      <c r="AV286" s="5"/>
    </row>
    <row r="287" spans="1:48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3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4"/>
      <c r="AU287" s="5"/>
      <c r="AV287" s="5"/>
    </row>
    <row r="288" spans="1:4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3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4"/>
      <c r="AU288" s="5"/>
      <c r="AV288" s="5"/>
    </row>
    <row r="289" spans="1:48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3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4"/>
      <c r="AU289" s="5"/>
      <c r="AV289" s="5"/>
    </row>
    <row r="290" spans="1:48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3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4"/>
      <c r="AU290" s="5"/>
      <c r="AV290" s="5"/>
    </row>
    <row r="291" spans="1:48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3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4"/>
      <c r="AU291" s="5"/>
      <c r="AV291" s="5"/>
    </row>
    <row r="292" spans="1:48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3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4"/>
      <c r="AU292" s="5"/>
      <c r="AV292" s="5"/>
    </row>
    <row r="293" spans="1:48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3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4"/>
      <c r="AU293" s="5"/>
      <c r="AV293" s="5"/>
    </row>
    <row r="294" spans="1:48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3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4"/>
      <c r="AU294" s="5"/>
      <c r="AV294" s="5"/>
    </row>
    <row r="295" spans="1:48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3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4"/>
      <c r="AU295" s="5"/>
      <c r="AV295" s="5"/>
    </row>
    <row r="296" spans="1:48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3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4"/>
      <c r="AU296" s="5"/>
      <c r="AV296" s="5"/>
    </row>
    <row r="297" spans="1:48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3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4"/>
      <c r="AU297" s="5"/>
      <c r="AV297" s="5"/>
    </row>
    <row r="298" spans="1:4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3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4"/>
      <c r="AU298" s="5"/>
      <c r="AV298" s="5"/>
    </row>
    <row r="299" spans="1:48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3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4"/>
      <c r="AU299" s="5"/>
      <c r="AV299" s="5"/>
    </row>
    <row r="300" spans="1:48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3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4"/>
      <c r="AU300" s="5"/>
      <c r="AV300" s="5"/>
    </row>
    <row r="301" spans="1:48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3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4"/>
      <c r="AU301" s="5"/>
      <c r="AV301" s="5"/>
    </row>
    <row r="302" spans="1:48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3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4"/>
      <c r="AU302" s="5"/>
      <c r="AV302" s="5"/>
    </row>
    <row r="303" spans="1:48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3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4"/>
      <c r="AU303" s="5"/>
      <c r="AV303" s="5"/>
    </row>
    <row r="304" spans="1:48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3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4"/>
      <c r="AU304" s="5"/>
      <c r="AV304" s="5"/>
    </row>
    <row r="305" spans="1:48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3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4"/>
      <c r="AU305" s="5"/>
      <c r="AV305" s="5"/>
    </row>
    <row r="306" spans="1:48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3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4"/>
      <c r="AU306" s="5"/>
      <c r="AV306" s="5"/>
    </row>
    <row r="307" spans="1:48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3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4"/>
      <c r="AU307" s="5"/>
      <c r="AV307" s="5"/>
    </row>
    <row r="308" spans="1:4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3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4"/>
      <c r="AU308" s="5"/>
      <c r="AV308" s="5"/>
    </row>
    <row r="309" spans="1:48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3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4"/>
      <c r="AU309" s="5"/>
      <c r="AV309" s="5"/>
    </row>
    <row r="310" spans="1:48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3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4"/>
      <c r="AU310" s="5"/>
      <c r="AV310" s="5"/>
    </row>
    <row r="311" spans="1:48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3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4"/>
      <c r="AU311" s="5"/>
      <c r="AV311" s="5"/>
    </row>
    <row r="312" spans="1:48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3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4"/>
      <c r="AU312" s="5"/>
      <c r="AV312" s="5"/>
    </row>
    <row r="313" spans="1:48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3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4"/>
      <c r="AU313" s="5"/>
      <c r="AV313" s="5"/>
    </row>
    <row r="314" spans="1:48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3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4"/>
      <c r="AU314" s="5"/>
      <c r="AV314" s="5"/>
    </row>
    <row r="315" spans="1:48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3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4"/>
      <c r="AU315" s="5"/>
      <c r="AV315" s="5"/>
    </row>
    <row r="316" spans="1:48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3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4"/>
      <c r="AU316" s="5"/>
      <c r="AV316" s="5"/>
    </row>
    <row r="317" spans="1:48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3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4"/>
      <c r="AU317" s="5"/>
      <c r="AV317" s="5"/>
    </row>
    <row r="318" spans="1:4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3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4"/>
      <c r="AU318" s="5"/>
      <c r="AV318" s="5"/>
    </row>
    <row r="319" spans="1:48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3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4"/>
      <c r="AU319" s="5"/>
      <c r="AV319" s="5"/>
    </row>
    <row r="320" spans="1:48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3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4"/>
      <c r="AU320" s="5"/>
      <c r="AV320" s="5"/>
    </row>
    <row r="321" spans="1:48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3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4"/>
      <c r="AU321" s="5"/>
      <c r="AV321" s="5"/>
    </row>
    <row r="322" spans="1:48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3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4"/>
      <c r="AU322" s="5"/>
      <c r="AV322" s="5"/>
    </row>
    <row r="323" spans="1:48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3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4"/>
      <c r="AU323" s="5"/>
      <c r="AV323" s="5"/>
    </row>
    <row r="324" spans="1:48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3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4"/>
      <c r="AU324" s="5"/>
      <c r="AV324" s="5"/>
    </row>
    <row r="325" spans="1:48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3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4"/>
      <c r="AU325" s="5"/>
      <c r="AV325" s="5"/>
    </row>
    <row r="326" spans="1:48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3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4"/>
      <c r="AU326" s="5"/>
      <c r="AV326" s="5"/>
    </row>
    <row r="327" spans="1:48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3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4"/>
      <c r="AU327" s="5"/>
      <c r="AV327" s="5"/>
    </row>
    <row r="328" spans="1:4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3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4"/>
      <c r="AU328" s="5"/>
      <c r="AV328" s="5"/>
    </row>
    <row r="329" spans="1:48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3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4"/>
      <c r="AU329" s="5"/>
      <c r="AV329" s="5"/>
    </row>
    <row r="330" spans="1:48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3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4"/>
      <c r="AU330" s="5"/>
      <c r="AV330" s="5"/>
    </row>
    <row r="331" spans="1:48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3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4"/>
      <c r="AU331" s="5"/>
      <c r="AV331" s="5"/>
    </row>
    <row r="332" spans="1:48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3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4"/>
      <c r="AU332" s="5"/>
      <c r="AV332" s="5"/>
    </row>
    <row r="333" spans="1:48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3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4"/>
      <c r="AU333" s="5"/>
      <c r="AV333" s="5"/>
    </row>
    <row r="334" spans="1:48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3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4"/>
      <c r="AU334" s="5"/>
      <c r="AV334" s="5"/>
    </row>
    <row r="335" spans="1:48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3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4"/>
      <c r="AU335" s="5"/>
      <c r="AV335" s="5"/>
    </row>
    <row r="336" spans="1:48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3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4"/>
      <c r="AU336" s="5"/>
      <c r="AV336" s="5"/>
    </row>
    <row r="337" spans="1:48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3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4"/>
      <c r="AU337" s="5"/>
      <c r="AV337" s="5"/>
    </row>
    <row r="338" spans="1:4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3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4"/>
      <c r="AU338" s="5"/>
      <c r="AV338" s="5"/>
    </row>
    <row r="339" spans="1:48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3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4"/>
      <c r="AU339" s="5"/>
      <c r="AV339" s="5"/>
    </row>
    <row r="340" spans="1:48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3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4"/>
      <c r="AU340" s="5"/>
      <c r="AV340" s="5"/>
    </row>
    <row r="341" spans="1:48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3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4"/>
      <c r="AU341" s="5"/>
      <c r="AV341" s="5"/>
    </row>
    <row r="342" spans="1:48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3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4"/>
      <c r="AU342" s="5"/>
      <c r="AV342" s="5"/>
    </row>
    <row r="343" spans="1:48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3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4"/>
      <c r="AU343" s="5"/>
      <c r="AV343" s="5"/>
    </row>
    <row r="344" spans="1:48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3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4"/>
      <c r="AU344" s="5"/>
      <c r="AV344" s="5"/>
    </row>
    <row r="345" spans="1:48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3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4"/>
      <c r="AU345" s="5"/>
      <c r="AV345" s="5"/>
    </row>
    <row r="346" spans="1:48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3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4"/>
      <c r="AU346" s="5"/>
      <c r="AV346" s="5"/>
    </row>
    <row r="347" spans="1:48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3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4"/>
      <c r="AU347" s="5"/>
      <c r="AV347" s="5"/>
    </row>
    <row r="348" spans="1: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3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4"/>
      <c r="AU348" s="5"/>
      <c r="AV348" s="5"/>
    </row>
    <row r="349" spans="1:48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3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4"/>
      <c r="AU349" s="5"/>
      <c r="AV349" s="5"/>
    </row>
    <row r="350" spans="1:48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3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4"/>
      <c r="AU350" s="5"/>
      <c r="AV350" s="5"/>
    </row>
    <row r="351" spans="1:48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3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4"/>
      <c r="AU351" s="5"/>
      <c r="AV351" s="5"/>
    </row>
    <row r="352" spans="1:48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3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4"/>
      <c r="AU352" s="5"/>
      <c r="AV352" s="5"/>
    </row>
    <row r="353" spans="1:48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3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4"/>
      <c r="AU353" s="5"/>
      <c r="AV353" s="5"/>
    </row>
    <row r="354" spans="1:48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3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4"/>
      <c r="AU354" s="5"/>
      <c r="AV354" s="5"/>
    </row>
    <row r="355" spans="1:48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3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4"/>
      <c r="AU355" s="5"/>
      <c r="AV355" s="5"/>
    </row>
    <row r="356" spans="1:48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3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4"/>
      <c r="AU356" s="5"/>
      <c r="AV356" s="5"/>
    </row>
    <row r="357" spans="1:48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3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4"/>
      <c r="AU357" s="5"/>
      <c r="AV357" s="5"/>
    </row>
    <row r="358" spans="1:4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3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4"/>
      <c r="AU358" s="5"/>
      <c r="AV358" s="5"/>
    </row>
    <row r="359" spans="1:48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3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4"/>
      <c r="AU359" s="5"/>
      <c r="AV359" s="5"/>
    </row>
    <row r="360" spans="1:48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3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4"/>
      <c r="AU360" s="5"/>
      <c r="AV360" s="5"/>
    </row>
    <row r="361" spans="1:48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3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4"/>
      <c r="AU361" s="5"/>
      <c r="AV361" s="5"/>
    </row>
    <row r="362" spans="1:48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3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4"/>
      <c r="AU362" s="5"/>
      <c r="AV362" s="5"/>
    </row>
    <row r="363" spans="1:48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3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4"/>
      <c r="AU363" s="5"/>
      <c r="AV363" s="5"/>
    </row>
    <row r="364" spans="1:48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3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4"/>
      <c r="AU364" s="5"/>
      <c r="AV364" s="5"/>
    </row>
    <row r="365" spans="1:48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3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4"/>
      <c r="AU365" s="5"/>
      <c r="AV365" s="5"/>
    </row>
    <row r="366" spans="1:48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3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4"/>
      <c r="AU366" s="5"/>
      <c r="AV366" s="5"/>
    </row>
    <row r="367" spans="1:48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3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4"/>
      <c r="AU367" s="5"/>
      <c r="AV367" s="5"/>
    </row>
    <row r="368" spans="1:4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3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4"/>
      <c r="AU368" s="5"/>
      <c r="AV368" s="5"/>
    </row>
    <row r="369" spans="1:48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3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4"/>
      <c r="AU369" s="5"/>
      <c r="AV369" s="5"/>
    </row>
    <row r="370" spans="1:48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3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4"/>
      <c r="AU370" s="5"/>
      <c r="AV370" s="5"/>
    </row>
    <row r="371" spans="1:48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3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4"/>
      <c r="AU371" s="5"/>
      <c r="AV371" s="5"/>
    </row>
    <row r="372" spans="1:48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3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4"/>
      <c r="AU372" s="5"/>
      <c r="AV372" s="5"/>
    </row>
    <row r="373" spans="1:48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3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4"/>
      <c r="AU373" s="5"/>
      <c r="AV373" s="5"/>
    </row>
    <row r="374" spans="1:48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3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4"/>
      <c r="AU374" s="5"/>
      <c r="AV374" s="5"/>
    </row>
    <row r="375" spans="1:48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3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4"/>
      <c r="AU375" s="5"/>
      <c r="AV375" s="5"/>
    </row>
    <row r="376" spans="1:48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3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4"/>
      <c r="AU376" s="5"/>
      <c r="AV376" s="5"/>
    </row>
    <row r="377" spans="1:48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3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4"/>
      <c r="AU377" s="5"/>
      <c r="AV377" s="5"/>
    </row>
    <row r="378" spans="1:4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3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4"/>
      <c r="AU378" s="5"/>
      <c r="AV378" s="5"/>
    </row>
    <row r="379" spans="1:48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3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4"/>
      <c r="AU379" s="5"/>
      <c r="AV379" s="5"/>
    </row>
    <row r="380" spans="1:48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3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4"/>
      <c r="AU380" s="5"/>
      <c r="AV380" s="5"/>
    </row>
    <row r="381" spans="1:48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3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4"/>
      <c r="AU381" s="5"/>
      <c r="AV381" s="5"/>
    </row>
    <row r="382" spans="1:48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3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4"/>
      <c r="AU382" s="5"/>
      <c r="AV382" s="5"/>
    </row>
    <row r="383" spans="1:48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3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4"/>
      <c r="AU383" s="5"/>
      <c r="AV383" s="5"/>
    </row>
    <row r="384" spans="1:48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3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4"/>
      <c r="AU384" s="5"/>
      <c r="AV384" s="5"/>
    </row>
    <row r="385" spans="1:48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3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4"/>
      <c r="AU385" s="5"/>
      <c r="AV385" s="5"/>
    </row>
    <row r="386" spans="1:48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3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4"/>
      <c r="AU386" s="5"/>
      <c r="AV386" s="5"/>
    </row>
    <row r="387" spans="1:48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3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4"/>
      <c r="AU387" s="5"/>
      <c r="AV387" s="5"/>
    </row>
    <row r="388" spans="1:4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3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4"/>
      <c r="AU388" s="5"/>
      <c r="AV388" s="5"/>
    </row>
    <row r="389" spans="1:48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3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4"/>
      <c r="AU389" s="5"/>
      <c r="AV389" s="5"/>
    </row>
    <row r="390" spans="1:48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3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4"/>
      <c r="AU390" s="5"/>
      <c r="AV390" s="5"/>
    </row>
    <row r="391" spans="1:48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3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4"/>
      <c r="AU391" s="5"/>
      <c r="AV391" s="5"/>
    </row>
    <row r="392" spans="1:48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3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4"/>
      <c r="AU392" s="5"/>
      <c r="AV392" s="5"/>
    </row>
    <row r="393" spans="1:48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3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4"/>
      <c r="AU393" s="5"/>
      <c r="AV393" s="5"/>
    </row>
    <row r="394" spans="1:48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3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4"/>
      <c r="AU394" s="5"/>
      <c r="AV394" s="5"/>
    </row>
    <row r="395" spans="1:48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3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4"/>
      <c r="AU395" s="5"/>
      <c r="AV395" s="5"/>
    </row>
    <row r="396" spans="1:48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3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4"/>
      <c r="AU396" s="5"/>
      <c r="AV396" s="5"/>
    </row>
    <row r="397" spans="1:48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3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4"/>
      <c r="AU397" s="5"/>
      <c r="AV397" s="5"/>
    </row>
    <row r="398" spans="1:4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3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4"/>
      <c r="AU398" s="5"/>
      <c r="AV398" s="5"/>
    </row>
    <row r="399" spans="1:48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3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4"/>
      <c r="AU399" s="5"/>
      <c r="AV399" s="5"/>
    </row>
    <row r="400" spans="1:48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3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4"/>
      <c r="AU400" s="5"/>
      <c r="AV400" s="5"/>
    </row>
    <row r="401" spans="1:48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3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4"/>
      <c r="AU401" s="5"/>
      <c r="AV401" s="5"/>
    </row>
    <row r="402" spans="1:48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3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4"/>
      <c r="AU402" s="5"/>
      <c r="AV402" s="5"/>
    </row>
    <row r="403" spans="1:48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3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4"/>
      <c r="AU403" s="5"/>
      <c r="AV403" s="5"/>
    </row>
    <row r="404" spans="1:48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3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4"/>
      <c r="AU404" s="5"/>
      <c r="AV404" s="5"/>
    </row>
    <row r="405" spans="1:48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3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4"/>
      <c r="AU405" s="5"/>
      <c r="AV405" s="5"/>
    </row>
    <row r="406" spans="1:48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3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4"/>
      <c r="AU406" s="5"/>
      <c r="AV406" s="5"/>
    </row>
    <row r="407" spans="1:48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3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4"/>
      <c r="AU407" s="5"/>
      <c r="AV407" s="5"/>
    </row>
    <row r="408" spans="1:4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3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4"/>
      <c r="AU408" s="5"/>
      <c r="AV408" s="5"/>
    </row>
    <row r="409" spans="1:48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3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4"/>
      <c r="AU409" s="5"/>
      <c r="AV409" s="5"/>
    </row>
    <row r="410" spans="1:48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3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4"/>
      <c r="AU410" s="5"/>
      <c r="AV410" s="5"/>
    </row>
    <row r="411" spans="1:48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3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4"/>
      <c r="AU411" s="5"/>
      <c r="AV411" s="5"/>
    </row>
    <row r="412" spans="1:48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3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4"/>
      <c r="AU412" s="5"/>
      <c r="AV412" s="5"/>
    </row>
    <row r="413" spans="1:48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3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4"/>
      <c r="AU413" s="5"/>
      <c r="AV413" s="5"/>
    </row>
    <row r="414" spans="1:48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3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4"/>
      <c r="AU414" s="5"/>
      <c r="AV414" s="5"/>
    </row>
    <row r="415" spans="1:48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3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4"/>
      <c r="AU415" s="5"/>
      <c r="AV415" s="5"/>
    </row>
    <row r="416" spans="1:48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3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4"/>
      <c r="AU416" s="5"/>
      <c r="AV416" s="5"/>
    </row>
    <row r="417" spans="1:48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3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4"/>
      <c r="AU417" s="5"/>
      <c r="AV417" s="5"/>
    </row>
    <row r="418" spans="1:4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3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4"/>
      <c r="AU418" s="5"/>
      <c r="AV418" s="5"/>
    </row>
    <row r="419" spans="1:48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3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4"/>
      <c r="AU419" s="5"/>
      <c r="AV419" s="5"/>
    </row>
    <row r="420" spans="1:48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3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4"/>
      <c r="AU420" s="5"/>
      <c r="AV420" s="5"/>
    </row>
    <row r="421" spans="1:48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3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4"/>
      <c r="AU421" s="5"/>
      <c r="AV421" s="5"/>
    </row>
    <row r="422" spans="1:48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3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4"/>
      <c r="AU422" s="5"/>
      <c r="AV422" s="5"/>
    </row>
    <row r="423" spans="1:48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3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4"/>
      <c r="AU423" s="5"/>
      <c r="AV423" s="5"/>
    </row>
    <row r="424" spans="1:48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3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4"/>
      <c r="AU424" s="5"/>
      <c r="AV424" s="5"/>
    </row>
    <row r="425" spans="1:48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3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4"/>
      <c r="AU425" s="5"/>
      <c r="AV425" s="5"/>
    </row>
    <row r="426" spans="1:48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3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4"/>
      <c r="AU426" s="5"/>
      <c r="AV426" s="5"/>
    </row>
    <row r="427" spans="1:48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3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4"/>
      <c r="AU427" s="5"/>
      <c r="AV427" s="5"/>
    </row>
    <row r="428" spans="1:4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3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4"/>
      <c r="AU428" s="5"/>
      <c r="AV428" s="5"/>
    </row>
    <row r="429" spans="1:48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3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4"/>
      <c r="AU429" s="5"/>
      <c r="AV429" s="5"/>
    </row>
    <row r="430" spans="1:48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3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4"/>
      <c r="AU430" s="5"/>
      <c r="AV430" s="5"/>
    </row>
    <row r="431" spans="1:48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3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4"/>
      <c r="AU431" s="5"/>
      <c r="AV431" s="5"/>
    </row>
    <row r="432" spans="1:48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3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4"/>
      <c r="AU432" s="5"/>
      <c r="AV432" s="5"/>
    </row>
    <row r="433" spans="1:48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3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4"/>
      <c r="AU433" s="5"/>
      <c r="AV433" s="5"/>
    </row>
    <row r="434" spans="1:48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3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4"/>
      <c r="AU434" s="5"/>
      <c r="AV434" s="5"/>
    </row>
    <row r="435" spans="1:48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3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4"/>
      <c r="AU435" s="5"/>
      <c r="AV435" s="5"/>
    </row>
    <row r="436" spans="1:48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3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4"/>
      <c r="AU436" s="5"/>
      <c r="AV436" s="5"/>
    </row>
    <row r="437" spans="1:48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3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4"/>
      <c r="AU437" s="5"/>
      <c r="AV437" s="5"/>
    </row>
    <row r="438" spans="1:4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3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4"/>
      <c r="AU438" s="5"/>
      <c r="AV438" s="5"/>
    </row>
    <row r="439" spans="1:48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3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4"/>
      <c r="AU439" s="5"/>
      <c r="AV439" s="5"/>
    </row>
    <row r="440" spans="1:48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3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4"/>
      <c r="AU440" s="5"/>
      <c r="AV440" s="5"/>
    </row>
    <row r="441" spans="1:48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3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4"/>
      <c r="AU441" s="5"/>
      <c r="AV441" s="5"/>
    </row>
    <row r="442" spans="1:48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3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4"/>
      <c r="AU442" s="5"/>
      <c r="AV442" s="5"/>
    </row>
    <row r="443" spans="1:48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3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4"/>
      <c r="AU443" s="5"/>
      <c r="AV443" s="5"/>
    </row>
    <row r="444" spans="1:48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3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4"/>
      <c r="AU444" s="5"/>
      <c r="AV444" s="5"/>
    </row>
    <row r="445" spans="1:48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3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4"/>
      <c r="AU445" s="5"/>
      <c r="AV445" s="5"/>
    </row>
    <row r="446" spans="1:48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3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4"/>
      <c r="AU446" s="5"/>
      <c r="AV446" s="5"/>
    </row>
    <row r="447" spans="1:48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3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4"/>
      <c r="AU447" s="5"/>
      <c r="AV447" s="5"/>
    </row>
    <row r="448" spans="1: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3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4"/>
      <c r="AU448" s="5"/>
      <c r="AV448" s="5"/>
    </row>
    <row r="449" spans="1:48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3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4"/>
      <c r="AU449" s="5"/>
      <c r="AV449" s="5"/>
    </row>
    <row r="450" spans="1:48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3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4"/>
      <c r="AU450" s="5"/>
      <c r="AV450" s="5"/>
    </row>
    <row r="451" spans="1:48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3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4"/>
      <c r="AU451" s="5"/>
      <c r="AV451" s="5"/>
    </row>
    <row r="452" spans="1:48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3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4"/>
      <c r="AU452" s="5"/>
      <c r="AV452" s="5"/>
    </row>
    <row r="453" spans="1:48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3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4"/>
      <c r="AU453" s="5"/>
      <c r="AV453" s="5"/>
    </row>
    <row r="454" spans="1:48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3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4"/>
      <c r="AU454" s="5"/>
      <c r="AV454" s="5"/>
    </row>
    <row r="455" spans="1:48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3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4"/>
      <c r="AU455" s="5"/>
      <c r="AV455" s="5"/>
    </row>
    <row r="456" spans="1:48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3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4"/>
      <c r="AU456" s="5"/>
      <c r="AV456" s="5"/>
    </row>
    <row r="457" spans="1:48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3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4"/>
      <c r="AU457" s="5"/>
      <c r="AV457" s="5"/>
    </row>
    <row r="458" spans="1:4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3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4"/>
      <c r="AU458" s="5"/>
      <c r="AV458" s="5"/>
    </row>
    <row r="459" spans="1:48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3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4"/>
      <c r="AU459" s="5"/>
      <c r="AV459" s="5"/>
    </row>
    <row r="460" spans="1:48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3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4"/>
      <c r="AU460" s="5"/>
      <c r="AV460" s="5"/>
    </row>
    <row r="461" spans="1:48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3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4"/>
      <c r="AU461" s="5"/>
      <c r="AV461" s="5"/>
    </row>
    <row r="462" spans="1:48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3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4"/>
      <c r="AU462" s="5"/>
      <c r="AV462" s="5"/>
    </row>
    <row r="463" spans="1:48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3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4"/>
      <c r="AU463" s="5"/>
      <c r="AV463" s="5"/>
    </row>
    <row r="464" spans="1:48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3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4"/>
      <c r="AU464" s="5"/>
      <c r="AV464" s="5"/>
    </row>
    <row r="465" spans="1:48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3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4"/>
      <c r="AU465" s="5"/>
      <c r="AV465" s="5"/>
    </row>
    <row r="466" spans="1:48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3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4"/>
      <c r="AU466" s="5"/>
      <c r="AV466" s="5"/>
    </row>
    <row r="467" spans="1:48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3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4"/>
      <c r="AU467" s="5"/>
      <c r="AV467" s="5"/>
    </row>
    <row r="468" spans="1:4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3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4"/>
      <c r="AU468" s="5"/>
      <c r="AV468" s="5"/>
    </row>
    <row r="469" spans="1:48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3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4"/>
      <c r="AU469" s="5"/>
      <c r="AV469" s="5"/>
    </row>
    <row r="470" spans="1:48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3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4"/>
      <c r="AU470" s="5"/>
      <c r="AV470" s="5"/>
    </row>
    <row r="471" spans="1:48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3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4"/>
      <c r="AU471" s="5"/>
      <c r="AV471" s="5"/>
    </row>
    <row r="472" spans="1:48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3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4"/>
      <c r="AU472" s="5"/>
      <c r="AV472" s="5"/>
    </row>
    <row r="473" spans="1:48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3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4"/>
      <c r="AU473" s="5"/>
      <c r="AV473" s="5"/>
    </row>
    <row r="474" spans="1:48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3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4"/>
      <c r="AU474" s="5"/>
      <c r="AV474" s="5"/>
    </row>
    <row r="475" spans="1:48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3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4"/>
      <c r="AU475" s="5"/>
      <c r="AV475" s="5"/>
    </row>
    <row r="476" spans="1:48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3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4"/>
      <c r="AU476" s="5"/>
      <c r="AV476" s="5"/>
    </row>
    <row r="477" spans="1:48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3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4"/>
      <c r="AU477" s="5"/>
      <c r="AV477" s="5"/>
    </row>
    <row r="478" spans="1:4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3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4"/>
      <c r="AU478" s="5"/>
      <c r="AV478" s="5"/>
    </row>
    <row r="479" spans="1:48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3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4"/>
      <c r="AU479" s="5"/>
      <c r="AV479" s="5"/>
    </row>
    <row r="480" spans="1:48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3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4"/>
      <c r="AU480" s="5"/>
      <c r="AV480" s="5"/>
    </row>
    <row r="481" spans="1:48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3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4"/>
      <c r="AU481" s="5"/>
      <c r="AV481" s="5"/>
    </row>
    <row r="482" spans="1:48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3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4"/>
      <c r="AU482" s="5"/>
      <c r="AV482" s="5"/>
    </row>
    <row r="483" spans="1:48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3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4"/>
      <c r="AU483" s="5"/>
      <c r="AV483" s="5"/>
    </row>
    <row r="484" spans="1:48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3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4"/>
      <c r="AU484" s="5"/>
      <c r="AV484" s="5"/>
    </row>
    <row r="485" spans="1:48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3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4"/>
      <c r="AU485" s="5"/>
      <c r="AV485" s="5"/>
    </row>
    <row r="486" spans="1:48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3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4"/>
      <c r="AU486" s="5"/>
      <c r="AV486" s="5"/>
    </row>
    <row r="487" spans="1:48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3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4"/>
      <c r="AU487" s="5"/>
      <c r="AV487" s="5"/>
    </row>
    <row r="488" spans="1:4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3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4"/>
      <c r="AU488" s="5"/>
      <c r="AV488" s="5"/>
    </row>
    <row r="489" spans="1:48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3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4"/>
      <c r="AU489" s="5"/>
      <c r="AV489" s="5"/>
    </row>
    <row r="490" spans="1:48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3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4"/>
      <c r="AU490" s="5"/>
      <c r="AV490" s="5"/>
    </row>
    <row r="491" spans="1:48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3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4"/>
      <c r="AU491" s="5"/>
      <c r="AV491" s="5"/>
    </row>
    <row r="492" spans="1:48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3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4"/>
      <c r="AU492" s="5"/>
      <c r="AV492" s="5"/>
    </row>
    <row r="493" spans="1:48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3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4"/>
      <c r="AU493" s="5"/>
      <c r="AV493" s="5"/>
    </row>
    <row r="494" spans="1:48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3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4"/>
      <c r="AU494" s="5"/>
      <c r="AV494" s="5"/>
    </row>
    <row r="495" spans="1:48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3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4"/>
      <c r="AU495" s="5"/>
      <c r="AV495" s="5"/>
    </row>
    <row r="496" spans="1:48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3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4"/>
      <c r="AU496" s="5"/>
      <c r="AV496" s="5"/>
    </row>
    <row r="497" spans="1:48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3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4"/>
      <c r="AU497" s="5"/>
      <c r="AV497" s="5"/>
    </row>
    <row r="498" spans="1:4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3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4"/>
      <c r="AU498" s="5"/>
      <c r="AV498" s="5"/>
    </row>
    <row r="499" spans="1:48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3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4"/>
      <c r="AU499" s="5"/>
      <c r="AV499" s="5"/>
    </row>
    <row r="500" spans="1:48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3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4"/>
      <c r="AU500" s="5"/>
      <c r="AV500" s="5"/>
    </row>
    <row r="501" spans="1:48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3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4"/>
      <c r="AU501" s="5"/>
      <c r="AV501" s="5"/>
    </row>
    <row r="502" spans="1:48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3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4"/>
      <c r="AU502" s="5"/>
      <c r="AV502" s="5"/>
    </row>
    <row r="503" spans="1:48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3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4"/>
      <c r="AU503" s="5"/>
      <c r="AV503" s="5"/>
    </row>
    <row r="504" spans="1:48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3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4"/>
      <c r="AU504" s="5"/>
      <c r="AV504" s="5"/>
    </row>
    <row r="505" spans="1:48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3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4"/>
      <c r="AU505" s="5"/>
      <c r="AV505" s="5"/>
    </row>
    <row r="506" spans="1:48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3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4"/>
      <c r="AU506" s="5"/>
      <c r="AV506" s="5"/>
    </row>
    <row r="507" spans="1:48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3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4"/>
      <c r="AU507" s="5"/>
      <c r="AV507" s="5"/>
    </row>
    <row r="508" spans="1:4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3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4"/>
      <c r="AU508" s="5"/>
      <c r="AV508" s="5"/>
    </row>
    <row r="509" spans="1:48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3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4"/>
      <c r="AU509" s="5"/>
      <c r="AV509" s="5"/>
    </row>
    <row r="510" spans="1:48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3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4"/>
      <c r="AU510" s="5"/>
      <c r="AV510" s="5"/>
    </row>
    <row r="511" spans="1:48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3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4"/>
      <c r="AU511" s="5"/>
      <c r="AV511" s="5"/>
    </row>
    <row r="512" spans="1:48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3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4"/>
      <c r="AU512" s="5"/>
      <c r="AV512" s="5"/>
    </row>
    <row r="513" spans="1:48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3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4"/>
      <c r="AU513" s="5"/>
      <c r="AV513" s="5"/>
    </row>
    <row r="514" spans="1:48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3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4"/>
      <c r="AU514" s="5"/>
      <c r="AV514" s="5"/>
    </row>
    <row r="515" spans="1:48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3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4"/>
      <c r="AU515" s="5"/>
      <c r="AV515" s="5"/>
    </row>
    <row r="516" spans="1:48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3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4"/>
      <c r="AU516" s="5"/>
      <c r="AV516" s="5"/>
    </row>
    <row r="517" spans="1:48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3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4"/>
      <c r="AU517" s="5"/>
      <c r="AV517" s="5"/>
    </row>
    <row r="518" spans="1:4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3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4"/>
      <c r="AU518" s="5"/>
      <c r="AV518" s="5"/>
    </row>
    <row r="519" spans="1:48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3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4"/>
      <c r="AU519" s="5"/>
      <c r="AV519" s="5"/>
    </row>
    <row r="520" spans="1:48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3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4"/>
      <c r="AU520" s="5"/>
      <c r="AV520" s="5"/>
    </row>
    <row r="521" spans="1:48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3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4"/>
      <c r="AU521" s="5"/>
      <c r="AV521" s="5"/>
    </row>
    <row r="522" spans="1:48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3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4"/>
      <c r="AU522" s="5"/>
      <c r="AV522" s="5"/>
    </row>
    <row r="523" spans="1:48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3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4"/>
      <c r="AU523" s="5"/>
      <c r="AV523" s="5"/>
    </row>
    <row r="524" spans="1:48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3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4"/>
      <c r="AU524" s="5"/>
      <c r="AV524" s="5"/>
    </row>
    <row r="525" spans="1:48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3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4"/>
      <c r="AU525" s="5"/>
      <c r="AV525" s="5"/>
    </row>
    <row r="526" spans="1:48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3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4"/>
      <c r="AU526" s="5"/>
      <c r="AV526" s="5"/>
    </row>
    <row r="527" spans="1:48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3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4"/>
      <c r="AU527" s="5"/>
      <c r="AV527" s="5"/>
    </row>
    <row r="528" spans="1:4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3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4"/>
      <c r="AU528" s="5"/>
      <c r="AV528" s="5"/>
    </row>
    <row r="529" spans="1:48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3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4"/>
      <c r="AU529" s="5"/>
      <c r="AV529" s="5"/>
    </row>
    <row r="530" spans="1:48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3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4"/>
      <c r="AU530" s="5"/>
      <c r="AV530" s="5"/>
    </row>
    <row r="531" spans="1:48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3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4"/>
      <c r="AU531" s="5"/>
      <c r="AV531" s="5"/>
    </row>
    <row r="532" spans="1:48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3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4"/>
      <c r="AU532" s="5"/>
      <c r="AV532" s="5"/>
    </row>
    <row r="533" spans="1:48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3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4"/>
      <c r="AU533" s="5"/>
      <c r="AV533" s="5"/>
    </row>
    <row r="534" spans="1:48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3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4"/>
      <c r="AU534" s="5"/>
      <c r="AV534" s="5"/>
    </row>
    <row r="535" spans="1:48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3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4"/>
      <c r="AU535" s="5"/>
      <c r="AV535" s="5"/>
    </row>
    <row r="536" spans="1:48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3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4"/>
      <c r="AU536" s="5"/>
      <c r="AV536" s="5"/>
    </row>
    <row r="537" spans="1:48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3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4"/>
      <c r="AU537" s="5"/>
      <c r="AV537" s="5"/>
    </row>
    <row r="538" spans="1:4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3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4"/>
      <c r="AU538" s="5"/>
      <c r="AV538" s="5"/>
    </row>
    <row r="539" spans="1:48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3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4"/>
      <c r="AU539" s="5"/>
      <c r="AV539" s="5"/>
    </row>
    <row r="540" spans="1:48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3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4"/>
      <c r="AU540" s="5"/>
      <c r="AV540" s="5"/>
    </row>
    <row r="541" spans="1:48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3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4"/>
      <c r="AU541" s="5"/>
      <c r="AV541" s="5"/>
    </row>
    <row r="542" spans="1:48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3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4"/>
      <c r="AU542" s="5"/>
      <c r="AV542" s="5"/>
    </row>
    <row r="543" spans="1:48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3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4"/>
      <c r="AU543" s="5"/>
      <c r="AV543" s="5"/>
    </row>
    <row r="544" spans="1:48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3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4"/>
      <c r="AU544" s="5"/>
      <c r="AV544" s="5"/>
    </row>
    <row r="545" spans="1:48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3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4"/>
      <c r="AU545" s="5"/>
      <c r="AV545" s="5"/>
    </row>
    <row r="546" spans="1:48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3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4"/>
      <c r="AU546" s="5"/>
      <c r="AV546" s="5"/>
    </row>
    <row r="547" spans="1:48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3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4"/>
      <c r="AU547" s="5"/>
      <c r="AV547" s="5"/>
    </row>
    <row r="548" spans="1: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3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4"/>
      <c r="AU548" s="5"/>
      <c r="AV548" s="5"/>
    </row>
    <row r="549" spans="1:48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3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4"/>
      <c r="AU549" s="5"/>
      <c r="AV549" s="5"/>
    </row>
    <row r="550" spans="1:48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3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4"/>
      <c r="AU550" s="5"/>
      <c r="AV550" s="5"/>
    </row>
    <row r="551" spans="1:48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3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4"/>
      <c r="AU551" s="5"/>
      <c r="AV551" s="5"/>
    </row>
    <row r="552" spans="1:48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3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4"/>
      <c r="AU552" s="5"/>
      <c r="AV552" s="5"/>
    </row>
    <row r="553" spans="1:48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3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4"/>
      <c r="AU553" s="5"/>
      <c r="AV553" s="5"/>
    </row>
    <row r="554" spans="1:48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3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4"/>
      <c r="AU554" s="5"/>
      <c r="AV554" s="5"/>
    </row>
    <row r="555" spans="1:48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3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4"/>
      <c r="AU555" s="5"/>
      <c r="AV555" s="5"/>
    </row>
    <row r="556" spans="1:48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3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4"/>
      <c r="AU556" s="5"/>
      <c r="AV556" s="5"/>
    </row>
    <row r="557" spans="1:48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3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4"/>
      <c r="AU557" s="5"/>
      <c r="AV557" s="5"/>
    </row>
    <row r="558" spans="1:4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3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4"/>
      <c r="AU558" s="5"/>
      <c r="AV558" s="5"/>
    </row>
    <row r="559" spans="1:48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3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4"/>
      <c r="AU559" s="5"/>
      <c r="AV559" s="5"/>
    </row>
    <row r="560" spans="1:48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3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4"/>
      <c r="AU560" s="5"/>
      <c r="AV560" s="5"/>
    </row>
    <row r="561" spans="1:48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3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4"/>
      <c r="AU561" s="5"/>
      <c r="AV561" s="5"/>
    </row>
    <row r="562" spans="1:48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3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4"/>
      <c r="AU562" s="5"/>
      <c r="AV562" s="5"/>
    </row>
    <row r="563" spans="1:48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3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4"/>
      <c r="AU563" s="5"/>
      <c r="AV563" s="5"/>
    </row>
    <row r="564" spans="1:48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3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4"/>
      <c r="AU564" s="5"/>
      <c r="AV564" s="5"/>
    </row>
    <row r="565" spans="1:48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3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4"/>
      <c r="AU565" s="5"/>
      <c r="AV565" s="5"/>
    </row>
    <row r="566" spans="1:48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3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4"/>
      <c r="AU566" s="5"/>
      <c r="AV566" s="5"/>
    </row>
    <row r="567" spans="1:48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3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4"/>
      <c r="AU567" s="5"/>
      <c r="AV567" s="5"/>
    </row>
    <row r="568" spans="1:4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3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4"/>
      <c r="AU568" s="5"/>
      <c r="AV568" s="5"/>
    </row>
    <row r="569" spans="1:48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3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4"/>
      <c r="AU569" s="5"/>
      <c r="AV569" s="5"/>
    </row>
    <row r="570" spans="1:48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3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4"/>
      <c r="AU570" s="5"/>
      <c r="AV570" s="5"/>
    </row>
    <row r="571" spans="1:48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3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4"/>
      <c r="AU571" s="5"/>
      <c r="AV571" s="5"/>
    </row>
    <row r="572" spans="1:48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3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4"/>
      <c r="AU572" s="5"/>
      <c r="AV572" s="5"/>
    </row>
    <row r="573" spans="1:48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3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4"/>
      <c r="AU573" s="5"/>
      <c r="AV573" s="5"/>
    </row>
    <row r="574" spans="1:48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3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4"/>
      <c r="AU574" s="5"/>
      <c r="AV574" s="5"/>
    </row>
    <row r="575" spans="1:48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3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4"/>
      <c r="AU575" s="5"/>
      <c r="AV575" s="5"/>
    </row>
    <row r="576" spans="1:48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3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4"/>
      <c r="AU576" s="5"/>
      <c r="AV576" s="5"/>
    </row>
    <row r="577" spans="1:48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3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4"/>
      <c r="AU577" s="5"/>
      <c r="AV577" s="5"/>
    </row>
    <row r="578" spans="1:4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3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4"/>
      <c r="AU578" s="5"/>
      <c r="AV578" s="5"/>
    </row>
    <row r="579" spans="1:48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3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4"/>
      <c r="AU579" s="5"/>
      <c r="AV579" s="5"/>
    </row>
    <row r="580" spans="1:48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3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4"/>
      <c r="AU580" s="5"/>
      <c r="AV580" s="5"/>
    </row>
    <row r="581" spans="1:48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3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4"/>
      <c r="AU581" s="5"/>
      <c r="AV581" s="5"/>
    </row>
    <row r="582" spans="1:48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3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4"/>
      <c r="AU582" s="5"/>
      <c r="AV582" s="5"/>
    </row>
    <row r="583" spans="1:48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3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4"/>
      <c r="AU583" s="5"/>
      <c r="AV583" s="5"/>
    </row>
    <row r="584" spans="1:48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3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4"/>
      <c r="AU584" s="5"/>
      <c r="AV584" s="5"/>
    </row>
    <row r="585" spans="1:48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3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4"/>
      <c r="AU585" s="5"/>
      <c r="AV585" s="5"/>
    </row>
    <row r="586" spans="1:48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3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4"/>
      <c r="AU586" s="5"/>
      <c r="AV586" s="5"/>
    </row>
    <row r="587" spans="1:48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3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4"/>
      <c r="AU587" s="5"/>
      <c r="AV587" s="5"/>
    </row>
    <row r="588" spans="1:4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3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4"/>
      <c r="AU588" s="5"/>
      <c r="AV588" s="5"/>
    </row>
    <row r="589" spans="1:48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3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4"/>
      <c r="AU589" s="5"/>
      <c r="AV589" s="5"/>
    </row>
    <row r="590" spans="1:48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3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4"/>
      <c r="AU590" s="5"/>
      <c r="AV590" s="5"/>
    </row>
    <row r="591" spans="1:48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3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4"/>
      <c r="AU591" s="5"/>
      <c r="AV591" s="5"/>
    </row>
    <row r="592" spans="1:48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3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4"/>
      <c r="AU592" s="5"/>
      <c r="AV592" s="5"/>
    </row>
    <row r="593" spans="1:48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3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4"/>
      <c r="AU593" s="5"/>
      <c r="AV593" s="5"/>
    </row>
    <row r="594" spans="1:48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3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4"/>
      <c r="AU594" s="5"/>
      <c r="AV594" s="5"/>
    </row>
    <row r="595" spans="1:48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3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4"/>
      <c r="AU595" s="5"/>
      <c r="AV595" s="5"/>
    </row>
    <row r="596" spans="1:48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3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4"/>
      <c r="AU596" s="5"/>
      <c r="AV596" s="5"/>
    </row>
    <row r="597" spans="1:48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3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4"/>
      <c r="AU597" s="5"/>
      <c r="AV597" s="5"/>
    </row>
    <row r="598" spans="1:4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3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4"/>
      <c r="AU598" s="5"/>
      <c r="AV598" s="5"/>
    </row>
    <row r="599" spans="1:48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3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4"/>
      <c r="AU599" s="5"/>
      <c r="AV599" s="5"/>
    </row>
    <row r="600" spans="1:48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3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4"/>
      <c r="AU600" s="5"/>
      <c r="AV600" s="5"/>
    </row>
    <row r="601" spans="1:48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3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4"/>
      <c r="AU601" s="5"/>
      <c r="AV601" s="5"/>
    </row>
    <row r="602" spans="1:48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3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4"/>
      <c r="AU602" s="5"/>
      <c r="AV602" s="5"/>
    </row>
    <row r="603" spans="1:48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3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4"/>
      <c r="AU603" s="5"/>
      <c r="AV603" s="5"/>
    </row>
    <row r="604" spans="1:48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3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4"/>
      <c r="AU604" s="5"/>
      <c r="AV604" s="5"/>
    </row>
    <row r="605" spans="1:48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3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4"/>
      <c r="AU605" s="5"/>
      <c r="AV605" s="5"/>
    </row>
    <row r="606" spans="1:48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3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4"/>
      <c r="AU606" s="5"/>
      <c r="AV606" s="5"/>
    </row>
    <row r="607" spans="1:48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3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4"/>
      <c r="AU607" s="5"/>
      <c r="AV607" s="5"/>
    </row>
    <row r="608" spans="1:4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3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4"/>
      <c r="AU608" s="5"/>
      <c r="AV608" s="5"/>
    </row>
    <row r="609" spans="1:48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3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4"/>
      <c r="AU609" s="5"/>
      <c r="AV609" s="5"/>
    </row>
    <row r="610" spans="1:48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3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4"/>
      <c r="AU610" s="5"/>
      <c r="AV610" s="5"/>
    </row>
    <row r="611" spans="1:48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3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4"/>
      <c r="AU611" s="5"/>
      <c r="AV611" s="5"/>
    </row>
    <row r="612" spans="1:48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3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4"/>
      <c r="AU612" s="5"/>
      <c r="AV612" s="5"/>
    </row>
    <row r="613" spans="1:48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3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4"/>
      <c r="AU613" s="5"/>
      <c r="AV613" s="5"/>
    </row>
    <row r="614" spans="1:48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3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4"/>
      <c r="AU614" s="5"/>
      <c r="AV614" s="5"/>
    </row>
    <row r="615" spans="1:48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3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4"/>
      <c r="AU615" s="5"/>
      <c r="AV615" s="5"/>
    </row>
    <row r="616" spans="1:48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3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4"/>
      <c r="AU616" s="5"/>
      <c r="AV616" s="5"/>
    </row>
    <row r="617" spans="1:48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3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4"/>
      <c r="AU617" s="5"/>
      <c r="AV617" s="5"/>
    </row>
    <row r="618" spans="1:4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3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4"/>
      <c r="AU618" s="5"/>
      <c r="AV618" s="5"/>
    </row>
    <row r="619" spans="1:48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3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4"/>
      <c r="AU619" s="5"/>
      <c r="AV619" s="5"/>
    </row>
    <row r="620" spans="1:48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3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4"/>
      <c r="AU620" s="5"/>
      <c r="AV620" s="5"/>
    </row>
    <row r="621" spans="1:48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3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4"/>
      <c r="AU621" s="5"/>
      <c r="AV621" s="5"/>
    </row>
    <row r="622" spans="1:48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3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4"/>
      <c r="AU622" s="5"/>
      <c r="AV622" s="5"/>
    </row>
    <row r="623" spans="1:48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3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4"/>
      <c r="AU623" s="5"/>
      <c r="AV623" s="5"/>
    </row>
    <row r="624" spans="1:48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3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4"/>
      <c r="AU624" s="5"/>
      <c r="AV624" s="5"/>
    </row>
    <row r="625" spans="1:48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3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4"/>
      <c r="AU625" s="5"/>
      <c r="AV625" s="5"/>
    </row>
    <row r="626" spans="1:48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3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4"/>
      <c r="AU626" s="5"/>
      <c r="AV626" s="5"/>
    </row>
    <row r="627" spans="1:48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3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4"/>
      <c r="AU627" s="5"/>
      <c r="AV627" s="5"/>
    </row>
    <row r="628" spans="1:4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3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4"/>
      <c r="AU628" s="5"/>
      <c r="AV628" s="5"/>
    </row>
    <row r="629" spans="1:48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3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4"/>
      <c r="AU629" s="5"/>
      <c r="AV629" s="5"/>
    </row>
    <row r="630" spans="1:48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3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4"/>
      <c r="AU630" s="5"/>
      <c r="AV630" s="5"/>
    </row>
    <row r="631" spans="1:48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3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4"/>
      <c r="AU631" s="5"/>
      <c r="AV631" s="5"/>
    </row>
    <row r="632" spans="1:48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3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4"/>
      <c r="AU632" s="5"/>
      <c r="AV632" s="5"/>
    </row>
    <row r="633" spans="1:48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3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4"/>
      <c r="AU633" s="5"/>
      <c r="AV633" s="5"/>
    </row>
    <row r="634" spans="1:48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3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4"/>
      <c r="AU634" s="5"/>
      <c r="AV634" s="5"/>
    </row>
    <row r="635" spans="1:48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3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4"/>
      <c r="AU635" s="5"/>
      <c r="AV635" s="5"/>
    </row>
    <row r="636" spans="1:48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3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4"/>
      <c r="AU636" s="5"/>
      <c r="AV636" s="5"/>
    </row>
    <row r="637" spans="1:48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3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4"/>
      <c r="AU637" s="5"/>
      <c r="AV637" s="5"/>
    </row>
    <row r="638" spans="1:4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3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4"/>
      <c r="AU638" s="5"/>
      <c r="AV638" s="5"/>
    </row>
    <row r="639" spans="1:48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3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4"/>
      <c r="AU639" s="5"/>
      <c r="AV639" s="5"/>
    </row>
    <row r="640" spans="1:48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3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4"/>
      <c r="AU640" s="5"/>
      <c r="AV640" s="5"/>
    </row>
    <row r="641" spans="1:48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3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4"/>
      <c r="AU641" s="5"/>
      <c r="AV641" s="5"/>
    </row>
    <row r="642" spans="1:48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3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4"/>
      <c r="AU642" s="5"/>
      <c r="AV642" s="5"/>
    </row>
    <row r="643" spans="1:48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3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4"/>
      <c r="AU643" s="5"/>
      <c r="AV643" s="5"/>
    </row>
    <row r="644" spans="1:48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3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4"/>
      <c r="AU644" s="5"/>
      <c r="AV644" s="5"/>
    </row>
    <row r="645" spans="1:48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3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4"/>
      <c r="AU645" s="5"/>
      <c r="AV645" s="5"/>
    </row>
    <row r="646" spans="1:48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3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4"/>
      <c r="AU646" s="5"/>
      <c r="AV646" s="5"/>
    </row>
    <row r="647" spans="1:48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3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4"/>
      <c r="AU647" s="5"/>
      <c r="AV647" s="5"/>
    </row>
    <row r="648" spans="1: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3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4"/>
      <c r="AU648" s="5"/>
      <c r="AV648" s="5"/>
    </row>
    <row r="649" spans="1:48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3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4"/>
      <c r="AU649" s="5"/>
      <c r="AV649" s="5"/>
    </row>
    <row r="650" spans="1:48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3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4"/>
      <c r="AU650" s="5"/>
      <c r="AV650" s="5"/>
    </row>
    <row r="651" spans="1:48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3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4"/>
      <c r="AU651" s="5"/>
      <c r="AV651" s="5"/>
    </row>
    <row r="652" spans="1:48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3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4"/>
      <c r="AU652" s="5"/>
      <c r="AV652" s="5"/>
    </row>
    <row r="653" spans="1:48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3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4"/>
      <c r="AU653" s="5"/>
      <c r="AV653" s="5"/>
    </row>
    <row r="654" spans="1:48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3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4"/>
      <c r="AU654" s="5"/>
      <c r="AV654" s="5"/>
    </row>
    <row r="655" spans="1:48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3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4"/>
      <c r="AU655" s="5"/>
      <c r="AV655" s="5"/>
    </row>
    <row r="656" spans="1:48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3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4"/>
      <c r="AU656" s="5"/>
      <c r="AV656" s="5"/>
    </row>
    <row r="657" spans="1:48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3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4"/>
      <c r="AU657" s="5"/>
      <c r="AV657" s="5"/>
    </row>
    <row r="658" spans="1:4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3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4"/>
      <c r="AU658" s="5"/>
      <c r="AV658" s="5"/>
    </row>
    <row r="659" spans="1:48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3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4"/>
      <c r="AU659" s="5"/>
      <c r="AV659" s="5"/>
    </row>
    <row r="660" spans="1:48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3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4"/>
      <c r="AU660" s="5"/>
      <c r="AV660" s="5"/>
    </row>
    <row r="661" spans="1:48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3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4"/>
      <c r="AU661" s="5"/>
      <c r="AV661" s="5"/>
    </row>
    <row r="662" spans="1:48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3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4"/>
      <c r="AU662" s="5"/>
      <c r="AV662" s="5"/>
    </row>
    <row r="663" spans="1:48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3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4"/>
      <c r="AU663" s="5"/>
      <c r="AV663" s="5"/>
    </row>
    <row r="664" spans="1:48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3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4"/>
      <c r="AU664" s="5"/>
      <c r="AV664" s="5"/>
    </row>
    <row r="665" spans="1:48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3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4"/>
      <c r="AU665" s="5"/>
      <c r="AV665" s="5"/>
    </row>
    <row r="666" spans="1:48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3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4"/>
      <c r="AU666" s="5"/>
      <c r="AV666" s="5"/>
    </row>
    <row r="667" spans="1:48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3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4"/>
      <c r="AU667" s="5"/>
      <c r="AV667" s="5"/>
    </row>
    <row r="668" spans="1:4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3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4"/>
      <c r="AU668" s="5"/>
      <c r="AV668" s="5"/>
    </row>
    <row r="669" spans="1:48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3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4"/>
      <c r="AU669" s="5"/>
      <c r="AV669" s="5"/>
    </row>
    <row r="670" spans="1:48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3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4"/>
      <c r="AU670" s="5"/>
      <c r="AV670" s="5"/>
    </row>
    <row r="671" spans="1:48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3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4"/>
      <c r="AU671" s="5"/>
      <c r="AV671" s="5"/>
    </row>
    <row r="672" spans="1:48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3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4"/>
      <c r="AU672" s="5"/>
      <c r="AV672" s="5"/>
    </row>
    <row r="673" spans="1:48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3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4"/>
      <c r="AU673" s="5"/>
      <c r="AV673" s="5"/>
    </row>
    <row r="674" spans="1:48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3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4"/>
      <c r="AU674" s="5"/>
      <c r="AV674" s="5"/>
    </row>
    <row r="675" spans="1:48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3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4"/>
      <c r="AU675" s="5"/>
      <c r="AV675" s="5"/>
    </row>
    <row r="676" spans="1:48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3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4"/>
      <c r="AU676" s="5"/>
      <c r="AV676" s="5"/>
    </row>
    <row r="677" spans="1:48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3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4"/>
      <c r="AU677" s="5"/>
      <c r="AV677" s="5"/>
    </row>
    <row r="678" spans="1:4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3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4"/>
      <c r="AU678" s="5"/>
      <c r="AV678" s="5"/>
    </row>
    <row r="679" spans="1:48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3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4"/>
      <c r="AU679" s="5"/>
      <c r="AV679" s="5"/>
    </row>
    <row r="680" spans="1:48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3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4"/>
      <c r="AU680" s="5"/>
      <c r="AV680" s="5"/>
    </row>
    <row r="681" spans="1:48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3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4"/>
      <c r="AU681" s="5"/>
      <c r="AV681" s="5"/>
    </row>
    <row r="682" spans="1:48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3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4"/>
      <c r="AU682" s="5"/>
      <c r="AV682" s="5"/>
    </row>
    <row r="683" spans="1:48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3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4"/>
      <c r="AU683" s="5"/>
      <c r="AV683" s="5"/>
    </row>
    <row r="684" spans="1:48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3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4"/>
      <c r="AU684" s="5"/>
      <c r="AV684" s="5"/>
    </row>
    <row r="685" spans="1:48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3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4"/>
      <c r="AU685" s="5"/>
      <c r="AV685" s="5"/>
    </row>
    <row r="686" spans="1:48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3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4"/>
      <c r="AU686" s="5"/>
      <c r="AV686" s="5"/>
    </row>
    <row r="687" spans="1:48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3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4"/>
      <c r="AU687" s="5"/>
      <c r="AV687" s="5"/>
    </row>
    <row r="688" spans="1:4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3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4"/>
      <c r="AU688" s="5"/>
      <c r="AV688" s="5"/>
    </row>
    <row r="689" spans="1:48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3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4"/>
      <c r="AU689" s="5"/>
      <c r="AV689" s="5"/>
    </row>
    <row r="690" spans="1:48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3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4"/>
      <c r="AU690" s="5"/>
      <c r="AV690" s="5"/>
    </row>
    <row r="691" spans="1:48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3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4"/>
      <c r="AU691" s="5"/>
      <c r="AV691" s="5"/>
    </row>
    <row r="692" spans="1:48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3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4"/>
      <c r="AU692" s="5"/>
      <c r="AV692" s="5"/>
    </row>
    <row r="693" spans="1:48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3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4"/>
      <c r="AU693" s="5"/>
      <c r="AV693" s="5"/>
    </row>
    <row r="694" spans="1:48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3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4"/>
      <c r="AU694" s="5"/>
      <c r="AV694" s="5"/>
    </row>
    <row r="695" spans="1:48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3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4"/>
      <c r="AU695" s="5"/>
      <c r="AV695" s="5"/>
    </row>
    <row r="696" spans="1:48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3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4"/>
      <c r="AU696" s="5"/>
      <c r="AV696" s="5"/>
    </row>
    <row r="697" spans="1:48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3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4"/>
      <c r="AU697" s="5"/>
      <c r="AV697" s="5"/>
    </row>
    <row r="698" spans="1:4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3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4"/>
      <c r="AU698" s="5"/>
      <c r="AV698" s="5"/>
    </row>
    <row r="699" spans="1:48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3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4"/>
      <c r="AU699" s="5"/>
      <c r="AV699" s="5"/>
    </row>
    <row r="700" spans="1:48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3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4"/>
      <c r="AU700" s="5"/>
      <c r="AV700" s="5"/>
    </row>
    <row r="701" spans="1:48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3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4"/>
      <c r="AU701" s="5"/>
      <c r="AV701" s="5"/>
    </row>
    <row r="702" spans="1:48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3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4"/>
      <c r="AU702" s="5"/>
      <c r="AV702" s="5"/>
    </row>
    <row r="703" spans="1:48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3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4"/>
      <c r="AU703" s="5"/>
      <c r="AV703" s="5"/>
    </row>
    <row r="704" spans="1:48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3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4"/>
      <c r="AU704" s="5"/>
      <c r="AV704" s="5"/>
    </row>
    <row r="705" spans="1:48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3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4"/>
      <c r="AU705" s="5"/>
      <c r="AV705" s="5"/>
    </row>
    <row r="706" spans="1:48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3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4"/>
      <c r="AU706" s="5"/>
      <c r="AV706" s="5"/>
    </row>
    <row r="707" spans="1:48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3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4"/>
      <c r="AU707" s="5"/>
      <c r="AV707" s="5"/>
    </row>
    <row r="708" spans="1:4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3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4"/>
      <c r="AU708" s="5"/>
      <c r="AV708" s="5"/>
    </row>
    <row r="709" spans="1:48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3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4"/>
      <c r="AU709" s="5"/>
      <c r="AV709" s="5"/>
    </row>
    <row r="710" spans="1:48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3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4"/>
      <c r="AU710" s="5"/>
      <c r="AV710" s="5"/>
    </row>
    <row r="711" spans="1:48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3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4"/>
      <c r="AU711" s="5"/>
      <c r="AV711" s="5"/>
    </row>
    <row r="712" spans="1:48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3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4"/>
      <c r="AU712" s="5"/>
      <c r="AV712" s="5"/>
    </row>
    <row r="713" spans="1:48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3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4"/>
      <c r="AU713" s="5"/>
      <c r="AV713" s="5"/>
    </row>
    <row r="714" spans="1:48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3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4"/>
      <c r="AU714" s="5"/>
      <c r="AV714" s="5"/>
    </row>
    <row r="715" spans="1:48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3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4"/>
      <c r="AU715" s="5"/>
      <c r="AV715" s="5"/>
    </row>
    <row r="716" spans="1:48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3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4"/>
      <c r="AU716" s="5"/>
      <c r="AV716" s="5"/>
    </row>
    <row r="717" spans="1:48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3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4"/>
      <c r="AU717" s="5"/>
      <c r="AV717" s="5"/>
    </row>
    <row r="718" spans="1:4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3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4"/>
      <c r="AU718" s="5"/>
      <c r="AV718" s="5"/>
    </row>
    <row r="719" spans="1:48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3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4"/>
      <c r="AU719" s="5"/>
      <c r="AV719" s="5"/>
    </row>
    <row r="720" spans="1:48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3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4"/>
      <c r="AU720" s="5"/>
      <c r="AV720" s="5"/>
    </row>
    <row r="721" spans="1:48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3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4"/>
      <c r="AU721" s="5"/>
      <c r="AV721" s="5"/>
    </row>
    <row r="722" spans="1:48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3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4"/>
      <c r="AU722" s="5"/>
      <c r="AV722" s="5"/>
    </row>
    <row r="723" spans="1:48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3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4"/>
      <c r="AU723" s="5"/>
      <c r="AV723" s="5"/>
    </row>
    <row r="724" spans="1:48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3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4"/>
      <c r="AU724" s="5"/>
      <c r="AV724" s="5"/>
    </row>
    <row r="725" spans="1:48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3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4"/>
      <c r="AU725" s="5"/>
      <c r="AV725" s="5"/>
    </row>
    <row r="726" spans="1:48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3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4"/>
      <c r="AU726" s="5"/>
      <c r="AV726" s="5"/>
    </row>
    <row r="727" spans="1:48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3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4"/>
      <c r="AU727" s="5"/>
      <c r="AV727" s="5"/>
    </row>
    <row r="728" spans="1:4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3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4"/>
      <c r="AU728" s="5"/>
      <c r="AV728" s="5"/>
    </row>
    <row r="729" spans="1:48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3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4"/>
      <c r="AU729" s="5"/>
      <c r="AV729" s="5"/>
    </row>
    <row r="730" spans="1:48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3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4"/>
      <c r="AU730" s="5"/>
      <c r="AV730" s="5"/>
    </row>
    <row r="731" spans="1:48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3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4"/>
      <c r="AU731" s="5"/>
      <c r="AV731" s="5"/>
    </row>
    <row r="732" spans="1:48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3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4"/>
      <c r="AU732" s="5"/>
      <c r="AV732" s="5"/>
    </row>
    <row r="733" spans="1:48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3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4"/>
      <c r="AU733" s="5"/>
      <c r="AV733" s="5"/>
    </row>
    <row r="734" spans="1:48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3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4"/>
      <c r="AU734" s="5"/>
      <c r="AV734" s="5"/>
    </row>
    <row r="735" spans="1:48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3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4"/>
      <c r="AU735" s="5"/>
      <c r="AV735" s="5"/>
    </row>
    <row r="736" spans="1:48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3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4"/>
      <c r="AU736" s="5"/>
      <c r="AV736" s="5"/>
    </row>
    <row r="737" spans="1:48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3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4"/>
      <c r="AU737" s="5"/>
      <c r="AV737" s="5"/>
    </row>
    <row r="738" spans="1:4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3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4"/>
      <c r="AU738" s="5"/>
      <c r="AV738" s="5"/>
    </row>
    <row r="739" spans="1:48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3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4"/>
      <c r="AU739" s="5"/>
      <c r="AV739" s="5"/>
    </row>
    <row r="740" spans="1:48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3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4"/>
      <c r="AU740" s="5"/>
      <c r="AV740" s="5"/>
    </row>
    <row r="741" spans="1:48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3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4"/>
      <c r="AU741" s="5"/>
      <c r="AV741" s="5"/>
    </row>
    <row r="742" spans="1:48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3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4"/>
      <c r="AU742" s="5"/>
      <c r="AV742" s="5"/>
    </row>
    <row r="743" spans="1:48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3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4"/>
      <c r="AU743" s="5"/>
      <c r="AV743" s="5"/>
    </row>
    <row r="744" spans="1:48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3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4"/>
      <c r="AU744" s="5"/>
      <c r="AV744" s="5"/>
    </row>
    <row r="745" spans="1:48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3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4"/>
      <c r="AU745" s="5"/>
      <c r="AV745" s="5"/>
    </row>
    <row r="746" spans="1:48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3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4"/>
      <c r="AU746" s="5"/>
      <c r="AV746" s="5"/>
    </row>
    <row r="747" spans="1:48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3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4"/>
      <c r="AU747" s="5"/>
      <c r="AV747" s="5"/>
    </row>
    <row r="748" spans="1: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3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4"/>
      <c r="AU748" s="5"/>
      <c r="AV748" s="5"/>
    </row>
    <row r="749" spans="1:48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3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4"/>
      <c r="AU749" s="5"/>
      <c r="AV749" s="5"/>
    </row>
    <row r="750" spans="1:48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3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4"/>
      <c r="AU750" s="5"/>
      <c r="AV750" s="5"/>
    </row>
    <row r="751" spans="1:48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3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4"/>
      <c r="AU751" s="5"/>
      <c r="AV751" s="5"/>
    </row>
    <row r="752" spans="1:48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3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4"/>
      <c r="AU752" s="5"/>
      <c r="AV752" s="5"/>
    </row>
    <row r="753" spans="1:48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3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4"/>
      <c r="AU753" s="5"/>
      <c r="AV753" s="5"/>
    </row>
    <row r="754" spans="1:48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3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4"/>
      <c r="AU754" s="5"/>
      <c r="AV754" s="5"/>
    </row>
    <row r="755" spans="1:48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3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4"/>
      <c r="AU755" s="5"/>
      <c r="AV755" s="5"/>
    </row>
    <row r="756" spans="1:48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3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4"/>
      <c r="AU756" s="5"/>
      <c r="AV756" s="5"/>
    </row>
    <row r="757" spans="1:48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3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4"/>
      <c r="AU757" s="5"/>
      <c r="AV757" s="5"/>
    </row>
    <row r="758" spans="1:4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3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4"/>
      <c r="AU758" s="5"/>
      <c r="AV758" s="5"/>
    </row>
    <row r="759" spans="1:48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3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4"/>
      <c r="AU759" s="5"/>
      <c r="AV759" s="5"/>
    </row>
    <row r="760" spans="1:48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3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4"/>
      <c r="AU760" s="5"/>
      <c r="AV760" s="5"/>
    </row>
    <row r="761" spans="1:48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3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4"/>
      <c r="AU761" s="5"/>
      <c r="AV761" s="5"/>
    </row>
    <row r="762" spans="1:48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3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4"/>
      <c r="AU762" s="5"/>
      <c r="AV762" s="5"/>
    </row>
    <row r="763" spans="1:48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3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4"/>
      <c r="AU763" s="5"/>
      <c r="AV763" s="5"/>
    </row>
    <row r="764" spans="1:48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3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4"/>
      <c r="AU764" s="5"/>
      <c r="AV764" s="5"/>
    </row>
    <row r="765" spans="1:48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3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4"/>
      <c r="AU765" s="5"/>
      <c r="AV765" s="5"/>
    </row>
    <row r="766" spans="1:48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3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4"/>
      <c r="AU766" s="5"/>
      <c r="AV766" s="5"/>
    </row>
    <row r="767" spans="1:48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3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4"/>
      <c r="AU767" s="5"/>
      <c r="AV767" s="5"/>
    </row>
    <row r="768" spans="1:4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3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4"/>
      <c r="AU768" s="5"/>
      <c r="AV768" s="5"/>
    </row>
    <row r="769" spans="1:48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3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4"/>
      <c r="AU769" s="5"/>
      <c r="AV769" s="5"/>
    </row>
    <row r="770" spans="1:48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3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4"/>
      <c r="AU770" s="5"/>
      <c r="AV770" s="5"/>
    </row>
    <row r="771" spans="1:48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3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4"/>
      <c r="AU771" s="5"/>
      <c r="AV771" s="5"/>
    </row>
    <row r="772" spans="1:48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3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4"/>
      <c r="AU772" s="5"/>
      <c r="AV772" s="5"/>
    </row>
    <row r="773" spans="1:48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3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4"/>
      <c r="AU773" s="5"/>
      <c r="AV773" s="5"/>
    </row>
    <row r="774" spans="1:48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3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4"/>
      <c r="AU774" s="5"/>
      <c r="AV774" s="5"/>
    </row>
    <row r="775" spans="1:48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3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4"/>
      <c r="AU775" s="5"/>
      <c r="AV775" s="5"/>
    </row>
    <row r="776" spans="1:48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3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4"/>
      <c r="AU776" s="5"/>
      <c r="AV776" s="5"/>
    </row>
    <row r="777" spans="1:48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3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4"/>
      <c r="AU777" s="5"/>
      <c r="AV777" s="5"/>
    </row>
    <row r="778" spans="1:4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3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4"/>
      <c r="AU778" s="5"/>
      <c r="AV778" s="5"/>
    </row>
    <row r="779" spans="1:48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3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4"/>
      <c r="AU779" s="5"/>
      <c r="AV779" s="5"/>
    </row>
    <row r="780" spans="1:48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3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4"/>
      <c r="AU780" s="5"/>
      <c r="AV780" s="5"/>
    </row>
    <row r="781" spans="1:48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3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4"/>
      <c r="AU781" s="5"/>
      <c r="AV781" s="5"/>
    </row>
    <row r="782" spans="1:48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3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4"/>
      <c r="AU782" s="5"/>
      <c r="AV782" s="5"/>
    </row>
    <row r="783" spans="1:48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3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4"/>
      <c r="AU783" s="5"/>
      <c r="AV783" s="5"/>
    </row>
    <row r="784" spans="1:48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3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4"/>
      <c r="AU784" s="5"/>
      <c r="AV784" s="5"/>
    </row>
    <row r="785" spans="1:48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3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4"/>
      <c r="AU785" s="5"/>
      <c r="AV785" s="5"/>
    </row>
    <row r="786" spans="1:48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3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4"/>
      <c r="AU786" s="5"/>
      <c r="AV786" s="5"/>
    </row>
    <row r="787" spans="1:48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3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4"/>
      <c r="AU787" s="5"/>
      <c r="AV787" s="5"/>
    </row>
    <row r="788" spans="1:4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3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4"/>
      <c r="AU788" s="5"/>
      <c r="AV788" s="5"/>
    </row>
    <row r="789" spans="1:48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3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4"/>
      <c r="AU789" s="5"/>
      <c r="AV789" s="5"/>
    </row>
    <row r="790" spans="1:48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3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4"/>
      <c r="AU790" s="5"/>
      <c r="AV790" s="5"/>
    </row>
    <row r="791" spans="1:48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3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4"/>
      <c r="AU791" s="5"/>
      <c r="AV791" s="5"/>
    </row>
    <row r="792" spans="1:48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3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4"/>
      <c r="AU792" s="5"/>
      <c r="AV792" s="5"/>
    </row>
    <row r="793" spans="1:48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3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4"/>
      <c r="AU793" s="5"/>
      <c r="AV793" s="5"/>
    </row>
    <row r="794" spans="1:48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3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4"/>
      <c r="AU794" s="5"/>
      <c r="AV794" s="5"/>
    </row>
    <row r="795" spans="1:48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3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4"/>
      <c r="AU795" s="5"/>
      <c r="AV795" s="5"/>
    </row>
    <row r="796" spans="1:48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3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4"/>
      <c r="AU796" s="5"/>
      <c r="AV796" s="5"/>
    </row>
    <row r="797" spans="1:48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3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4"/>
      <c r="AU797" s="5"/>
      <c r="AV797" s="5"/>
    </row>
    <row r="798" spans="1:4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3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4"/>
      <c r="AU798" s="5"/>
      <c r="AV798" s="5"/>
    </row>
    <row r="799" spans="1:48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3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4"/>
      <c r="AU799" s="5"/>
      <c r="AV799" s="5"/>
    </row>
    <row r="800" spans="1:48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3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4"/>
      <c r="AU800" s="5"/>
      <c r="AV800" s="5"/>
    </row>
    <row r="801" spans="1:48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3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4"/>
      <c r="AU801" s="5"/>
      <c r="AV801" s="5"/>
    </row>
    <row r="802" spans="1:48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3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4"/>
      <c r="AU802" s="5"/>
      <c r="AV802" s="5"/>
    </row>
    <row r="803" spans="1:48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3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4"/>
      <c r="AU803" s="5"/>
      <c r="AV803" s="5"/>
    </row>
    <row r="804" spans="1:48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3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4"/>
      <c r="AU804" s="5"/>
      <c r="AV804" s="5"/>
    </row>
    <row r="805" spans="1:48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3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4"/>
      <c r="AU805" s="5"/>
      <c r="AV805" s="5"/>
    </row>
    <row r="806" spans="1:48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3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4"/>
      <c r="AU806" s="5"/>
      <c r="AV806" s="5"/>
    </row>
    <row r="807" spans="1:48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3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4"/>
      <c r="AU807" s="5"/>
      <c r="AV807" s="5"/>
    </row>
    <row r="808" spans="1:4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3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4"/>
      <c r="AU808" s="5"/>
      <c r="AV808" s="5"/>
    </row>
    <row r="809" spans="1:48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3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4"/>
      <c r="AU809" s="5"/>
      <c r="AV809" s="5"/>
    </row>
    <row r="810" spans="1:48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3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4"/>
      <c r="AU810" s="5"/>
      <c r="AV810" s="5"/>
    </row>
    <row r="811" spans="1:48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3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4"/>
      <c r="AU811" s="5"/>
      <c r="AV811" s="5"/>
    </row>
    <row r="812" spans="1:48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3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4"/>
      <c r="AU812" s="5"/>
      <c r="AV812" s="5"/>
    </row>
    <row r="813" spans="1:48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3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4"/>
      <c r="AU813" s="5"/>
      <c r="AV813" s="5"/>
    </row>
    <row r="814" spans="1:48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3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4"/>
      <c r="AU814" s="5"/>
      <c r="AV814" s="5"/>
    </row>
    <row r="815" spans="1:48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3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4"/>
      <c r="AU815" s="5"/>
      <c r="AV815" s="5"/>
    </row>
    <row r="816" spans="1:48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3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4"/>
      <c r="AU816" s="5"/>
      <c r="AV816" s="5"/>
    </row>
    <row r="817" spans="1:48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3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4"/>
      <c r="AU817" s="5"/>
      <c r="AV817" s="5"/>
    </row>
    <row r="818" spans="1:4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3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4"/>
      <c r="AU818" s="5"/>
      <c r="AV818" s="5"/>
    </row>
    <row r="819" spans="1:48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3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4"/>
      <c r="AU819" s="5"/>
      <c r="AV819" s="5"/>
    </row>
    <row r="820" spans="1:48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3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4"/>
      <c r="AU820" s="5"/>
      <c r="AV820" s="5"/>
    </row>
    <row r="821" spans="1:48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3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4"/>
      <c r="AU821" s="5"/>
      <c r="AV821" s="5"/>
    </row>
    <row r="822" spans="1:48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3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4"/>
      <c r="AU822" s="5"/>
      <c r="AV822" s="5"/>
    </row>
    <row r="823" spans="1:48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3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4"/>
      <c r="AU823" s="5"/>
      <c r="AV823" s="5"/>
    </row>
    <row r="824" spans="1:48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3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4"/>
      <c r="AU824" s="5"/>
      <c r="AV824" s="5"/>
    </row>
    <row r="825" spans="1:48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3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4"/>
      <c r="AU825" s="5"/>
      <c r="AV825" s="5"/>
    </row>
    <row r="826" spans="1:48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3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4"/>
      <c r="AU826" s="5"/>
      <c r="AV826" s="5"/>
    </row>
    <row r="827" spans="1:48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3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4"/>
      <c r="AU827" s="5"/>
      <c r="AV827" s="5"/>
    </row>
    <row r="828" spans="1:4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3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4"/>
      <c r="AU828" s="5"/>
      <c r="AV828" s="5"/>
    </row>
    <row r="829" spans="1:48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3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4"/>
      <c r="AU829" s="5"/>
      <c r="AV829" s="5"/>
    </row>
    <row r="830" spans="1:48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3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4"/>
      <c r="AU830" s="5"/>
      <c r="AV830" s="5"/>
    </row>
    <row r="831" spans="1:48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3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4"/>
      <c r="AU831" s="5"/>
      <c r="AV831" s="5"/>
    </row>
    <row r="832" spans="1:48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3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4"/>
      <c r="AU832" s="5"/>
      <c r="AV832" s="5"/>
    </row>
    <row r="833" spans="1:48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3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4"/>
      <c r="AU833" s="5"/>
      <c r="AV833" s="5"/>
    </row>
    <row r="834" spans="1:48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3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4"/>
      <c r="AU834" s="5"/>
      <c r="AV834" s="5"/>
    </row>
    <row r="835" spans="1:48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3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4"/>
      <c r="AU835" s="5"/>
      <c r="AV835" s="5"/>
    </row>
    <row r="836" spans="1:48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3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4"/>
      <c r="AU836" s="5"/>
      <c r="AV836" s="5"/>
    </row>
    <row r="837" spans="1:48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3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4"/>
      <c r="AU837" s="5"/>
      <c r="AV837" s="5"/>
    </row>
    <row r="838" spans="1:4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3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4"/>
      <c r="AU838" s="5"/>
      <c r="AV838" s="5"/>
    </row>
    <row r="839" spans="1:48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3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4"/>
      <c r="AU839" s="5"/>
      <c r="AV839" s="5"/>
    </row>
    <row r="840" spans="1:48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3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4"/>
      <c r="AU840" s="5"/>
      <c r="AV840" s="5"/>
    </row>
    <row r="841" spans="1:48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3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4"/>
      <c r="AU841" s="5"/>
      <c r="AV841" s="5"/>
    </row>
    <row r="842" spans="1:48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3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4"/>
      <c r="AU842" s="5"/>
      <c r="AV842" s="5"/>
    </row>
    <row r="843" spans="1:48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3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4"/>
      <c r="AU843" s="5"/>
      <c r="AV843" s="5"/>
    </row>
    <row r="844" spans="1:48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3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4"/>
      <c r="AU844" s="5"/>
      <c r="AV844" s="5"/>
    </row>
    <row r="845" spans="1:48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3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4"/>
      <c r="AU845" s="5"/>
      <c r="AV845" s="5"/>
    </row>
    <row r="846" spans="1:48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3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4"/>
      <c r="AU846" s="5"/>
      <c r="AV846" s="5"/>
    </row>
    <row r="847" spans="1:48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3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4"/>
      <c r="AU847" s="5"/>
      <c r="AV847" s="5"/>
    </row>
    <row r="848" spans="1: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3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4"/>
      <c r="AU848" s="5"/>
      <c r="AV848" s="5"/>
    </row>
    <row r="849" spans="1:48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3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4"/>
      <c r="AU849" s="5"/>
      <c r="AV849" s="5"/>
    </row>
    <row r="850" spans="1:48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3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4"/>
      <c r="AU850" s="5"/>
      <c r="AV850" s="5"/>
    </row>
    <row r="851" spans="1:48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3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4"/>
      <c r="AU851" s="5"/>
      <c r="AV851" s="5"/>
    </row>
    <row r="852" spans="1:48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3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4"/>
      <c r="AU852" s="5"/>
      <c r="AV852" s="5"/>
    </row>
    <row r="853" spans="1:48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3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4"/>
      <c r="AU853" s="5"/>
      <c r="AV853" s="5"/>
    </row>
    <row r="854" spans="1:48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3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4"/>
      <c r="AU854" s="5"/>
      <c r="AV854" s="5"/>
    </row>
    <row r="855" spans="1:48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3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4"/>
      <c r="AU855" s="5"/>
      <c r="AV855" s="5"/>
    </row>
    <row r="856" spans="1:48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3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4"/>
      <c r="AU856" s="5"/>
      <c r="AV856" s="5"/>
    </row>
    <row r="857" spans="1:48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3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4"/>
      <c r="AU857" s="5"/>
      <c r="AV857" s="5"/>
    </row>
    <row r="858" spans="1:4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3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4"/>
      <c r="AU858" s="5"/>
      <c r="AV858" s="5"/>
    </row>
    <row r="859" spans="1:48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3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4"/>
      <c r="AU859" s="5"/>
      <c r="AV859" s="5"/>
    </row>
    <row r="860" spans="1:48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3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4"/>
      <c r="AU860" s="5"/>
      <c r="AV860" s="5"/>
    </row>
    <row r="861" spans="1:48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3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4"/>
      <c r="AU861" s="5"/>
      <c r="AV861" s="5"/>
    </row>
    <row r="862" spans="1:48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3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4"/>
      <c r="AU862" s="5"/>
      <c r="AV862" s="5"/>
    </row>
    <row r="863" spans="1:48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3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4"/>
      <c r="AU863" s="5"/>
      <c r="AV863" s="5"/>
    </row>
    <row r="864" spans="1:48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3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4"/>
      <c r="AU864" s="5"/>
      <c r="AV864" s="5"/>
    </row>
    <row r="865" spans="1:48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3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4"/>
      <c r="AU865" s="5"/>
      <c r="AV865" s="5"/>
    </row>
    <row r="866" spans="1:48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3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4"/>
      <c r="AU866" s="5"/>
      <c r="AV866" s="5"/>
    </row>
    <row r="867" spans="1:48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3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4"/>
      <c r="AU867" s="5"/>
      <c r="AV867" s="5"/>
    </row>
    <row r="868" spans="1:4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3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4"/>
      <c r="AU868" s="5"/>
      <c r="AV868" s="5"/>
    </row>
    <row r="869" spans="1:48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3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4"/>
      <c r="AU869" s="5"/>
      <c r="AV869" s="5"/>
    </row>
    <row r="870" spans="1:48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3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4"/>
      <c r="AU870" s="5"/>
      <c r="AV870" s="5"/>
    </row>
    <row r="871" spans="1:48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3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4"/>
      <c r="AU871" s="5"/>
      <c r="AV871" s="5"/>
    </row>
    <row r="872" spans="1:48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3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4"/>
      <c r="AU872" s="5"/>
      <c r="AV872" s="5"/>
    </row>
    <row r="873" spans="1:48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3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4"/>
      <c r="AU873" s="5"/>
      <c r="AV873" s="5"/>
    </row>
    <row r="874" spans="1:48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3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4"/>
      <c r="AU874" s="5"/>
      <c r="AV874" s="5"/>
    </row>
    <row r="875" spans="1:48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3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4"/>
      <c r="AU875" s="5"/>
      <c r="AV875" s="5"/>
    </row>
    <row r="876" spans="1:48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3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4"/>
      <c r="AU876" s="5"/>
      <c r="AV876" s="5"/>
    </row>
    <row r="877" spans="1:48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3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4"/>
      <c r="AU877" s="5"/>
      <c r="AV877" s="5"/>
    </row>
    <row r="878" spans="1:4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3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4"/>
      <c r="AU878" s="5"/>
      <c r="AV878" s="5"/>
    </row>
    <row r="879" spans="1:48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3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4"/>
      <c r="AU879" s="5"/>
      <c r="AV879" s="5"/>
    </row>
    <row r="880" spans="1:48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3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4"/>
      <c r="AU880" s="5"/>
      <c r="AV880" s="5"/>
    </row>
    <row r="881" spans="1:48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3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4"/>
      <c r="AU881" s="5"/>
      <c r="AV881" s="5"/>
    </row>
    <row r="882" spans="1:48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3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4"/>
      <c r="AU882" s="5"/>
      <c r="AV882" s="5"/>
    </row>
    <row r="883" spans="1:48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3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4"/>
      <c r="AU883" s="5"/>
      <c r="AV883" s="5"/>
    </row>
    <row r="884" spans="1:48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3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4"/>
      <c r="AU884" s="5"/>
      <c r="AV884" s="5"/>
    </row>
    <row r="885" spans="1:48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3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4"/>
      <c r="AU885" s="5"/>
      <c r="AV885" s="5"/>
    </row>
    <row r="886" spans="1:48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3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4"/>
      <c r="AU886" s="5"/>
      <c r="AV886" s="5"/>
    </row>
    <row r="887" spans="1:48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3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4"/>
      <c r="AU887" s="5"/>
      <c r="AV887" s="5"/>
    </row>
    <row r="888" spans="1:4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3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4"/>
      <c r="AU888" s="5"/>
      <c r="AV888" s="5"/>
    </row>
    <row r="889" spans="1:48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3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4"/>
      <c r="AU889" s="5"/>
      <c r="AV889" s="5"/>
    </row>
    <row r="890" spans="1:48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3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4"/>
      <c r="AU890" s="5"/>
      <c r="AV890" s="5"/>
    </row>
    <row r="891" spans="1:48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3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4"/>
      <c r="AU891" s="5"/>
      <c r="AV891" s="5"/>
    </row>
    <row r="892" spans="1:48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3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4"/>
      <c r="AU892" s="5"/>
      <c r="AV892" s="5"/>
    </row>
    <row r="893" spans="1:48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3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4"/>
      <c r="AU893" s="5"/>
      <c r="AV893" s="5"/>
    </row>
    <row r="894" spans="1:48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3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4"/>
      <c r="AU894" s="5"/>
      <c r="AV894" s="5"/>
    </row>
    <row r="895" spans="1:48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3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4"/>
      <c r="AU895" s="5"/>
      <c r="AV895" s="5"/>
    </row>
    <row r="896" spans="1:48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3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4"/>
      <c r="AU896" s="5"/>
      <c r="AV896" s="5"/>
    </row>
    <row r="897" spans="1:48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3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4"/>
      <c r="AU897" s="5"/>
      <c r="AV897" s="5"/>
    </row>
    <row r="898" spans="1:4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3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4"/>
      <c r="AU898" s="5"/>
      <c r="AV898" s="5"/>
    </row>
    <row r="899" spans="1:48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3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4"/>
      <c r="AU899" s="5"/>
      <c r="AV899" s="5"/>
    </row>
    <row r="900" spans="1:48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3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4"/>
      <c r="AU900" s="5"/>
      <c r="AV900" s="5"/>
    </row>
    <row r="901" spans="1:48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3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4"/>
      <c r="AU901" s="5"/>
      <c r="AV901" s="5"/>
    </row>
    <row r="902" spans="1:48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3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4"/>
      <c r="AU902" s="5"/>
      <c r="AV902" s="5"/>
    </row>
    <row r="903" spans="1:48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3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4"/>
      <c r="AU903" s="5"/>
      <c r="AV903" s="5"/>
    </row>
    <row r="904" spans="1:48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3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4"/>
      <c r="AU904" s="5"/>
      <c r="AV904" s="5"/>
    </row>
    <row r="905" spans="1:48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3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4"/>
      <c r="AU905" s="5"/>
      <c r="AV905" s="5"/>
    </row>
    <row r="906" spans="1:48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3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4"/>
      <c r="AU906" s="5"/>
      <c r="AV906" s="5"/>
    </row>
    <row r="907" spans="1:48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3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4"/>
      <c r="AU907" s="5"/>
      <c r="AV907" s="5"/>
    </row>
    <row r="908" spans="1:4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3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4"/>
      <c r="AU908" s="5"/>
      <c r="AV908" s="5"/>
    </row>
    <row r="909" spans="1:48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3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4"/>
      <c r="AU909" s="5"/>
      <c r="AV909" s="5"/>
    </row>
    <row r="910" spans="1:48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3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4"/>
      <c r="AU910" s="5"/>
      <c r="AV910" s="5"/>
    </row>
    <row r="911" spans="1:48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3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4"/>
      <c r="AU911" s="5"/>
      <c r="AV911" s="5"/>
    </row>
    <row r="912" spans="1:48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3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4"/>
      <c r="AU912" s="5"/>
      <c r="AV912" s="5"/>
    </row>
    <row r="913" spans="1:48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3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4"/>
      <c r="AU913" s="5"/>
      <c r="AV913" s="5"/>
    </row>
    <row r="914" spans="1:48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3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4"/>
      <c r="AU914" s="5"/>
      <c r="AV914" s="5"/>
    </row>
    <row r="915" spans="1:48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3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4"/>
      <c r="AU915" s="5"/>
      <c r="AV915" s="5"/>
    </row>
    <row r="916" spans="1:48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3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4"/>
      <c r="AU916" s="5"/>
      <c r="AV916" s="5"/>
    </row>
    <row r="917" spans="1:48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3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4"/>
      <c r="AU917" s="5"/>
      <c r="AV917" s="5"/>
    </row>
    <row r="918" spans="1:4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3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4"/>
      <c r="AU918" s="5"/>
      <c r="AV918" s="5"/>
    </row>
    <row r="919" spans="1:48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3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4"/>
      <c r="AU919" s="5"/>
      <c r="AV919" s="5"/>
    </row>
    <row r="920" spans="1:48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3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4"/>
      <c r="AU920" s="5"/>
      <c r="AV920" s="5"/>
    </row>
    <row r="921" spans="1:48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3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4"/>
      <c r="AU921" s="5"/>
      <c r="AV921" s="5"/>
    </row>
    <row r="922" spans="1:48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3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4"/>
      <c r="AU922" s="5"/>
      <c r="AV922" s="5"/>
    </row>
    <row r="923" spans="1:48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3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4"/>
      <c r="AU923" s="5"/>
      <c r="AV923" s="5"/>
    </row>
    <row r="924" spans="1:48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3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4"/>
      <c r="AU924" s="5"/>
      <c r="AV924" s="5"/>
    </row>
    <row r="925" spans="1:48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3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4"/>
      <c r="AU925" s="5"/>
      <c r="AV925" s="5"/>
    </row>
    <row r="926" spans="1:48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3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4"/>
      <c r="AU926" s="5"/>
      <c r="AV926" s="5"/>
    </row>
    <row r="927" spans="1:48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3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4"/>
      <c r="AU927" s="5"/>
      <c r="AV927" s="5"/>
    </row>
    <row r="928" spans="1:4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3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4"/>
      <c r="AU928" s="5"/>
      <c r="AV928" s="5"/>
    </row>
    <row r="929" spans="1:48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3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4"/>
      <c r="AU929" s="5"/>
      <c r="AV929" s="5"/>
    </row>
    <row r="930" spans="1:48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3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4"/>
      <c r="AU930" s="5"/>
      <c r="AV930" s="5"/>
    </row>
    <row r="931" spans="1:48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3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4"/>
      <c r="AU931" s="5"/>
      <c r="AV931" s="5"/>
    </row>
    <row r="932" spans="1:48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3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4"/>
      <c r="AU932" s="5"/>
      <c r="AV932" s="5"/>
    </row>
    <row r="933" spans="1:48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3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4"/>
      <c r="AU933" s="5"/>
      <c r="AV933" s="5"/>
    </row>
    <row r="934" spans="1:48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3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4"/>
      <c r="AU934" s="5"/>
      <c r="AV934" s="5"/>
    </row>
    <row r="935" spans="1:48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3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4"/>
      <c r="AU935" s="5"/>
      <c r="AV935" s="5"/>
    </row>
    <row r="936" spans="1:48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3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4"/>
      <c r="AU936" s="5"/>
      <c r="AV936" s="5"/>
    </row>
    <row r="937" spans="1:48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3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4"/>
      <c r="AU937" s="5"/>
      <c r="AV937" s="5"/>
    </row>
    <row r="938" spans="1:4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3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4"/>
      <c r="AU938" s="5"/>
      <c r="AV938" s="5"/>
    </row>
    <row r="939" spans="1:48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3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4"/>
      <c r="AU939" s="5"/>
      <c r="AV939" s="5"/>
    </row>
    <row r="940" spans="1:48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3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4"/>
      <c r="AU940" s="5"/>
      <c r="AV940" s="5"/>
    </row>
    <row r="941" spans="1:48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3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4"/>
      <c r="AU941" s="5"/>
      <c r="AV941" s="5"/>
    </row>
    <row r="942" spans="1:48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3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4"/>
      <c r="AU942" s="5"/>
      <c r="AV942" s="5"/>
    </row>
    <row r="943" spans="1:48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3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4"/>
      <c r="AU943" s="5"/>
      <c r="AV943" s="5"/>
    </row>
    <row r="944" spans="1:48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3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4"/>
      <c r="AU944" s="5"/>
      <c r="AV944" s="5"/>
    </row>
    <row r="945" spans="1:48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3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4"/>
      <c r="AU945" s="5"/>
      <c r="AV945" s="5"/>
    </row>
    <row r="946" spans="1:48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3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4"/>
      <c r="AU946" s="5"/>
      <c r="AV946" s="5"/>
    </row>
    <row r="947" spans="1:48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3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4"/>
      <c r="AU947" s="5"/>
      <c r="AV947" s="5"/>
    </row>
    <row r="948" spans="1: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3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4"/>
      <c r="AU948" s="5"/>
      <c r="AV948" s="5"/>
    </row>
    <row r="949" spans="1:48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3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4"/>
      <c r="AU949" s="5"/>
      <c r="AV949" s="5"/>
    </row>
    <row r="950" spans="1:48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3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4"/>
      <c r="AU950" s="5"/>
      <c r="AV950" s="5"/>
    </row>
    <row r="951" spans="1:48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3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4"/>
      <c r="AU951" s="5"/>
      <c r="AV951" s="5"/>
    </row>
    <row r="952" spans="1:48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3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4"/>
      <c r="AU952" s="5"/>
      <c r="AV952" s="5"/>
    </row>
    <row r="953" spans="1:48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3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4"/>
      <c r="AU953" s="5"/>
      <c r="AV953" s="5"/>
    </row>
    <row r="954" spans="1:48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3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4"/>
      <c r="AU954" s="5"/>
      <c r="AV954" s="5"/>
    </row>
    <row r="955" spans="1:48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3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4"/>
      <c r="AU955" s="5"/>
      <c r="AV955" s="5"/>
    </row>
    <row r="956" spans="1:48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3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4"/>
      <c r="AU956" s="5"/>
      <c r="AV956" s="5"/>
    </row>
    <row r="957" spans="1:48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3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4"/>
      <c r="AU957" s="5"/>
      <c r="AV957" s="5"/>
    </row>
    <row r="958" spans="1:4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3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4"/>
      <c r="AU958" s="5"/>
      <c r="AV958" s="5"/>
    </row>
    <row r="959" spans="1:48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3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4"/>
      <c r="AU959" s="5"/>
      <c r="AV959" s="5"/>
    </row>
    <row r="960" spans="1:48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3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4"/>
      <c r="AU960" s="5"/>
      <c r="AV960" s="5"/>
    </row>
    <row r="961" spans="1:48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3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4"/>
      <c r="AU961" s="5"/>
      <c r="AV961" s="5"/>
    </row>
    <row r="962" spans="1:48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3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4"/>
      <c r="AU962" s="5"/>
      <c r="AV962" s="5"/>
    </row>
    <row r="963" spans="1:48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3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4"/>
      <c r="AU963" s="5"/>
      <c r="AV963" s="5"/>
    </row>
    <row r="964" spans="1:48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3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4"/>
      <c r="AU964" s="5"/>
      <c r="AV964" s="5"/>
    </row>
    <row r="965" spans="1:48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3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4"/>
      <c r="AU965" s="5"/>
      <c r="AV965" s="5"/>
    </row>
    <row r="966" spans="1:48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3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4"/>
      <c r="AU966" s="5"/>
      <c r="AV966" s="5"/>
    </row>
    <row r="967" spans="1:48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3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4"/>
      <c r="AU967" s="5"/>
      <c r="AV967" s="5"/>
    </row>
    <row r="968" spans="1:4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3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4"/>
      <c r="AU968" s="5"/>
      <c r="AV968" s="5"/>
    </row>
    <row r="969" spans="1:48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3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4"/>
      <c r="AU969" s="5"/>
      <c r="AV969" s="5"/>
    </row>
    <row r="970" spans="1:48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3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4"/>
      <c r="AU970" s="5"/>
      <c r="AV970" s="5"/>
    </row>
    <row r="971" spans="1:48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3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4"/>
      <c r="AU971" s="5"/>
      <c r="AV971" s="5"/>
    </row>
    <row r="972" spans="1:48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3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4"/>
      <c r="AU972" s="5"/>
      <c r="AV972" s="5"/>
    </row>
    <row r="973" spans="1:48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3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4"/>
      <c r="AU973" s="5"/>
      <c r="AV973" s="5"/>
    </row>
    <row r="974" spans="1:48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3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4"/>
      <c r="AU974" s="5"/>
      <c r="AV974" s="5"/>
    </row>
    <row r="975" spans="1:48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3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4"/>
      <c r="AU975" s="5"/>
      <c r="AV975" s="5"/>
    </row>
    <row r="976" spans="1:48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3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4"/>
      <c r="AU976" s="5"/>
      <c r="AV976" s="5"/>
    </row>
    <row r="977" spans="1:48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3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4"/>
      <c r="AU977" s="5"/>
      <c r="AV977" s="5"/>
    </row>
    <row r="978" spans="1:4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3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4"/>
      <c r="AU978" s="5"/>
      <c r="AV978" s="5"/>
    </row>
    <row r="979" spans="1:48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3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4"/>
      <c r="AU979" s="5"/>
      <c r="AV979" s="5"/>
    </row>
    <row r="980" spans="1:48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3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4"/>
      <c r="AU980" s="5"/>
      <c r="AV980" s="5"/>
    </row>
    <row r="981" spans="1:48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3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4"/>
      <c r="AU981" s="5"/>
      <c r="AV981" s="5"/>
    </row>
    <row r="982" spans="1:48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3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4"/>
      <c r="AU982" s="5"/>
      <c r="AV982" s="5"/>
    </row>
    <row r="983" spans="1:48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3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4"/>
      <c r="AU983" s="5"/>
      <c r="AV983" s="5"/>
    </row>
    <row r="984" spans="1:48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3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4"/>
      <c r="AU984" s="5"/>
      <c r="AV984" s="5"/>
    </row>
    <row r="985" spans="1:48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3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4"/>
      <c r="AU985" s="5"/>
      <c r="AV985" s="5"/>
    </row>
    <row r="986" spans="1:48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3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4"/>
      <c r="AU986" s="5"/>
      <c r="AV986" s="5"/>
    </row>
    <row r="987" spans="1:48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3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4"/>
      <c r="AU987" s="5"/>
      <c r="AV987" s="5"/>
    </row>
    <row r="988" spans="1:4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3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4"/>
      <c r="AU988" s="5"/>
      <c r="AV988" s="5"/>
    </row>
    <row r="989" spans="1:48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3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4"/>
      <c r="AU989" s="5"/>
      <c r="AV989" s="5"/>
    </row>
    <row r="990" spans="1:48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3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4"/>
      <c r="AU990" s="5"/>
      <c r="AV990" s="5"/>
    </row>
    <row r="991" spans="1:48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3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4"/>
      <c r="AU991" s="5"/>
      <c r="AV991" s="5"/>
    </row>
    <row r="992" spans="1:48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3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4"/>
      <c r="AU992" s="5"/>
      <c r="AV992" s="5"/>
    </row>
    <row r="993" spans="1:48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3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4"/>
      <c r="AU993" s="5"/>
      <c r="AV993" s="5"/>
    </row>
    <row r="994" spans="1:48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3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4"/>
      <c r="AU994" s="5"/>
      <c r="AV994" s="5"/>
    </row>
    <row r="995" spans="1:48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3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4"/>
      <c r="AU995" s="5"/>
      <c r="AV995" s="5"/>
    </row>
    <row r="996" spans="1:48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3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4"/>
      <c r="AU996" s="5"/>
      <c r="AV996" s="5"/>
    </row>
    <row r="997" spans="1:48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3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4"/>
      <c r="AU997" s="5"/>
      <c r="AV997" s="5"/>
    </row>
    <row r="998" spans="1:4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3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4"/>
      <c r="AU998" s="5"/>
      <c r="AV998" s="5"/>
    </row>
    <row r="999" spans="1:48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3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4"/>
      <c r="AU999" s="5"/>
      <c r="AV999" s="5"/>
    </row>
    <row r="1000" spans="1:48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3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4"/>
      <c r="AU1000" s="5"/>
      <c r="AV1000" s="5"/>
    </row>
    <row r="1001" spans="1:48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3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4"/>
      <c r="AU1001" s="5"/>
      <c r="AV1001" s="5"/>
    </row>
    <row r="1002" spans="1:48" ht="13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3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4"/>
      <c r="AU1002" s="5"/>
      <c r="AV1002" s="5"/>
    </row>
    <row r="1003" spans="1:48" ht="13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3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4"/>
      <c r="AU1003" s="5"/>
      <c r="AV1003" s="5"/>
    </row>
    <row r="1004" spans="1:48" ht="13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3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4"/>
      <c r="AU1004" s="5"/>
      <c r="AV1004" s="5"/>
    </row>
    <row r="1005" spans="1:48" ht="13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3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4"/>
      <c r="AU1005" s="5"/>
      <c r="AV1005" s="5"/>
    </row>
    <row r="1006" spans="1:48" ht="13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3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4"/>
      <c r="AU1006" s="5"/>
      <c r="AV1006" s="5"/>
    </row>
    <row r="1007" spans="1:48" ht="13.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3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4"/>
      <c r="AU1007" s="5"/>
      <c r="AV1007" s="5"/>
    </row>
    <row r="1008" spans="1:48" ht="13.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3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4"/>
      <c r="AU1008" s="5"/>
      <c r="AV1008" s="5"/>
    </row>
    <row r="1009" spans="1:48" ht="13.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3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4"/>
      <c r="AU1009" s="5"/>
      <c r="AV1009" s="5"/>
    </row>
    <row r="1010" spans="1:48" ht="13.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3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4"/>
      <c r="AU1010" s="5"/>
      <c r="AV1010" s="5"/>
    </row>
    <row r="1011" spans="1:48" ht="13.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3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4"/>
      <c r="AU1011" s="5"/>
      <c r="AV1011" s="5"/>
    </row>
    <row r="1012" spans="1:48" ht="13.5" customHeight="1"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4"/>
      <c r="AU1012" s="5"/>
      <c r="AV1012" s="5"/>
    </row>
    <row r="1013" spans="1:48" ht="13.5" customHeight="1"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4"/>
      <c r="AU1013" s="5"/>
      <c r="AV1013" s="5"/>
    </row>
    <row r="1014" spans="1:48" ht="13.5" customHeight="1"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4"/>
      <c r="AU1014" s="5"/>
      <c r="AV1014" s="5"/>
    </row>
    <row r="1015" spans="1:48" ht="13.5" customHeight="1"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4"/>
      <c r="AU1015" s="5"/>
      <c r="AV1015" s="5"/>
    </row>
    <row r="1016" spans="1:48" ht="13.5" customHeight="1"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4"/>
      <c r="AU1016" s="5"/>
      <c r="AV1016" s="5"/>
    </row>
    <row r="1017" spans="1:48" ht="13.5" customHeight="1"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4"/>
      <c r="AU1017" s="5"/>
      <c r="AV1017" s="5"/>
    </row>
    <row r="1018" spans="1:48" ht="13.5" customHeight="1"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4"/>
      <c r="AU1018" s="5"/>
      <c r="AV1018" s="5"/>
    </row>
    <row r="1019" spans="1:48" ht="13.5" customHeight="1"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4"/>
      <c r="AU1019" s="5"/>
      <c r="AV1019" s="5"/>
    </row>
    <row r="1020" spans="1:48" ht="13.5" customHeight="1"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4"/>
      <c r="AU1020" s="5"/>
      <c r="AV1020" s="5"/>
    </row>
    <row r="1021" spans="1:48" ht="13.5" customHeight="1"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4"/>
      <c r="AU1021" s="5"/>
      <c r="AV1021" s="5"/>
    </row>
    <row r="1022" spans="1:48" ht="13.5" customHeight="1"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4"/>
      <c r="AU1022" s="5"/>
      <c r="AV1022" s="5"/>
    </row>
    <row r="1023" spans="1:48" ht="13.5" customHeight="1"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4"/>
      <c r="AU1023" s="5"/>
      <c r="AV1023" s="5"/>
    </row>
    <row r="1024" spans="1:48" ht="13.5" customHeight="1"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4"/>
      <c r="AU1024" s="5"/>
      <c r="AV1024" s="5"/>
    </row>
    <row r="1025" spans="24:48" ht="13.5" customHeight="1"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4"/>
      <c r="AU1025" s="5"/>
      <c r="AV1025" s="5"/>
    </row>
    <row r="1026" spans="24:48" ht="13.5" customHeight="1"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4"/>
      <c r="AU1026" s="5"/>
      <c r="AV1026" s="5"/>
    </row>
    <row r="1027" spans="24:48" ht="13.5" customHeight="1"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4"/>
      <c r="AU1027" s="5"/>
      <c r="AV1027" s="5"/>
    </row>
    <row r="1028" spans="24:48" ht="13.5" customHeight="1"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4"/>
      <c r="AU1028" s="5"/>
      <c r="AV1028" s="5"/>
    </row>
    <row r="1029" spans="24:48" ht="13.5" customHeight="1"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4"/>
      <c r="AU1029" s="5"/>
      <c r="AV1029" s="5"/>
    </row>
    <row r="1030" spans="24:48" ht="13.5" customHeight="1"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4"/>
      <c r="AU1030" s="5"/>
      <c r="AV1030" s="5"/>
    </row>
    <row r="1031" spans="24:48" ht="13.5" customHeight="1"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4"/>
      <c r="AU1031" s="5"/>
      <c r="AV1031" s="5"/>
    </row>
    <row r="1032" spans="24:48" ht="13.5" customHeight="1"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4"/>
      <c r="AU1032" s="5"/>
      <c r="AV1032" s="5"/>
    </row>
    <row r="1033" spans="24:48" ht="13.5" customHeight="1"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4"/>
      <c r="AU1033" s="5"/>
      <c r="AV1033" s="5"/>
    </row>
    <row r="1034" spans="24:48" ht="13.5" customHeight="1"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4"/>
      <c r="AU1034" s="5"/>
      <c r="AV1034" s="5"/>
    </row>
    <row r="1035" spans="24:48" ht="13.5" customHeight="1"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4"/>
      <c r="AU1035" s="5"/>
      <c r="AV1035" s="5"/>
    </row>
    <row r="1036" spans="24:48" ht="13.5" customHeight="1"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4"/>
      <c r="AU1036" s="5"/>
      <c r="AV1036" s="5"/>
    </row>
    <row r="1037" spans="24:48" ht="13.5" customHeight="1"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4"/>
      <c r="AU1037" s="5"/>
      <c r="AV1037" s="5"/>
    </row>
  </sheetData>
  <mergeCells count="129">
    <mergeCell ref="V80:W80"/>
    <mergeCell ref="D81:I81"/>
    <mergeCell ref="J81:O81"/>
    <mergeCell ref="P81:W81"/>
    <mergeCell ref="P79:R79"/>
    <mergeCell ref="S79:U79"/>
    <mergeCell ref="V79:W79"/>
    <mergeCell ref="D80:F80"/>
    <mergeCell ref="G80:I80"/>
    <mergeCell ref="J80:K80"/>
    <mergeCell ref="L80:M80"/>
    <mergeCell ref="N80:O80"/>
    <mergeCell ref="P80:R80"/>
    <mergeCell ref="S80:U80"/>
    <mergeCell ref="J77:O77"/>
    <mergeCell ref="P77:W77"/>
    <mergeCell ref="D78:I78"/>
    <mergeCell ref="J78:O78"/>
    <mergeCell ref="P78:W78"/>
    <mergeCell ref="D79:F79"/>
    <mergeCell ref="G79:I79"/>
    <mergeCell ref="J79:K79"/>
    <mergeCell ref="L79:M79"/>
    <mergeCell ref="N79:O79"/>
    <mergeCell ref="D73:I73"/>
    <mergeCell ref="J73:L73"/>
    <mergeCell ref="P73:R73"/>
    <mergeCell ref="S73:U73"/>
    <mergeCell ref="A75:A81"/>
    <mergeCell ref="D75:W75"/>
    <mergeCell ref="D76:I76"/>
    <mergeCell ref="J76:O76"/>
    <mergeCell ref="P76:W76"/>
    <mergeCell ref="D77:I77"/>
    <mergeCell ref="S70:U70"/>
    <mergeCell ref="D71:I71"/>
    <mergeCell ref="J71:L71"/>
    <mergeCell ref="P71:R71"/>
    <mergeCell ref="S71:U71"/>
    <mergeCell ref="D72:I72"/>
    <mergeCell ref="J72:L72"/>
    <mergeCell ref="P72:R72"/>
    <mergeCell ref="S72:U72"/>
    <mergeCell ref="AA65:AC65"/>
    <mergeCell ref="AA66:AC66"/>
    <mergeCell ref="X68:AV91"/>
    <mergeCell ref="D69:I69"/>
    <mergeCell ref="J69:L69"/>
    <mergeCell ref="P69:R69"/>
    <mergeCell ref="S69:U69"/>
    <mergeCell ref="D70:I70"/>
    <mergeCell ref="J70:L70"/>
    <mergeCell ref="P70:R70"/>
    <mergeCell ref="AA59:AC59"/>
    <mergeCell ref="AA60:AC60"/>
    <mergeCell ref="AA61:AC61"/>
    <mergeCell ref="AA62:AC62"/>
    <mergeCell ref="AA63:AC63"/>
    <mergeCell ref="AA64:AC64"/>
    <mergeCell ref="AA53:AC53"/>
    <mergeCell ref="AA54:AC54"/>
    <mergeCell ref="AA55:AC55"/>
    <mergeCell ref="AA56:AC56"/>
    <mergeCell ref="AA57:AC57"/>
    <mergeCell ref="AA58:AC58"/>
    <mergeCell ref="AA47:AC47"/>
    <mergeCell ref="AA48:AC48"/>
    <mergeCell ref="AA49:AC49"/>
    <mergeCell ref="AA50:AC50"/>
    <mergeCell ref="AA51:AC51"/>
    <mergeCell ref="AA52:AC52"/>
    <mergeCell ref="AA41:AC41"/>
    <mergeCell ref="AA42:AC42"/>
    <mergeCell ref="AA43:AC43"/>
    <mergeCell ref="AA44:AC44"/>
    <mergeCell ref="AA45:AC45"/>
    <mergeCell ref="AA46:AC46"/>
    <mergeCell ref="AA35:AC35"/>
    <mergeCell ref="AA36:AC36"/>
    <mergeCell ref="AA37:AC37"/>
    <mergeCell ref="AA38:AC38"/>
    <mergeCell ref="AA39:AC39"/>
    <mergeCell ref="AA40:AC40"/>
    <mergeCell ref="AA29:AC29"/>
    <mergeCell ref="AA30:AC30"/>
    <mergeCell ref="AA31:AC31"/>
    <mergeCell ref="AA32:AC32"/>
    <mergeCell ref="AA33:AC33"/>
    <mergeCell ref="AA34:AC34"/>
    <mergeCell ref="AA23:AC23"/>
    <mergeCell ref="AA24:AC24"/>
    <mergeCell ref="AA25:AC25"/>
    <mergeCell ref="AA26:AC26"/>
    <mergeCell ref="AA27:AC27"/>
    <mergeCell ref="AA28:AC28"/>
    <mergeCell ref="AA17:AC17"/>
    <mergeCell ref="AA18:AC18"/>
    <mergeCell ref="AA19:AC19"/>
    <mergeCell ref="AA20:AC20"/>
    <mergeCell ref="AA21:AC21"/>
    <mergeCell ref="AA22:AC22"/>
    <mergeCell ref="AT12:AT13"/>
    <mergeCell ref="A13:A14"/>
    <mergeCell ref="C13:C14"/>
    <mergeCell ref="AA14:AC14"/>
    <mergeCell ref="AA15:AC15"/>
    <mergeCell ref="AA16:AC16"/>
    <mergeCell ref="AD12:AF12"/>
    <mergeCell ref="AG12:AI12"/>
    <mergeCell ref="AJ12:AL12"/>
    <mergeCell ref="AM12:AO12"/>
    <mergeCell ref="AP12:AR12"/>
    <mergeCell ref="AS12:AS13"/>
    <mergeCell ref="K12:M12"/>
    <mergeCell ref="N12:P12"/>
    <mergeCell ref="Q12:S12"/>
    <mergeCell ref="T12:T13"/>
    <mergeCell ref="U12:U13"/>
    <mergeCell ref="W12:Z12"/>
    <mergeCell ref="A10:A12"/>
    <mergeCell ref="B10:B12"/>
    <mergeCell ref="D10:D12"/>
    <mergeCell ref="E10:U10"/>
    <mergeCell ref="AA10:AT10"/>
    <mergeCell ref="E11:U11"/>
    <mergeCell ref="AA11:AC13"/>
    <mergeCell ref="AD11:AT11"/>
    <mergeCell ref="E12:G12"/>
    <mergeCell ref="H12:J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JSU Piawai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Fatin Natasya Azren</dc:creator>
  <cp:lastModifiedBy>Fatin Natasya Azren</cp:lastModifiedBy>
  <dcterms:created xsi:type="dcterms:W3CDTF">2024-10-14T05:27:40Z</dcterms:created>
  <dcterms:modified xsi:type="dcterms:W3CDTF">2024-10-14T05:29:52Z</dcterms:modified>
</cp:coreProperties>
</file>